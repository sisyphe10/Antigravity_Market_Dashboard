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2EA7E8F-FD24-4A03-8B45-A29B9A1B05D6}" xr6:coauthVersionLast="47" xr6:coauthVersionMax="47" xr10:uidLastSave="{00000000-0000-0000-0000-000000000000}"/>
  <bookViews>
    <workbookView xWindow="-120" yWindow="-120" windowWidth="38640" windowHeight="21120" xr2:uid="{AC5E7C55-08D2-4546-BF68-733B76C0B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13" i="1"/>
  <c r="D13" i="1"/>
</calcChain>
</file>

<file path=xl/sharedStrings.xml><?xml version="1.0" encoding="utf-8"?>
<sst xmlns="http://schemas.openxmlformats.org/spreadsheetml/2006/main" count="43" uniqueCount="36">
  <si>
    <t>종목명</t>
  </si>
  <si>
    <t>자문의견</t>
  </si>
  <si>
    <t>상품명</t>
    <phoneticPr fontId="2" type="noConversion"/>
  </si>
  <si>
    <t>날짜</t>
    <phoneticPr fontId="2" type="noConversion"/>
  </si>
  <si>
    <t>종목코드</t>
    <phoneticPr fontId="2" type="noConversion"/>
  </si>
  <si>
    <t>자문비중(변경전)</t>
    <phoneticPr fontId="2" type="noConversion"/>
  </si>
  <si>
    <t>자문비중(변경후)</t>
    <phoneticPr fontId="2" type="noConversion"/>
  </si>
  <si>
    <t>매매</t>
    <phoneticPr fontId="2" type="noConversion"/>
  </si>
  <si>
    <t>NO</t>
    <phoneticPr fontId="2" type="noConversion"/>
  </si>
  <si>
    <t>000660</t>
    <phoneticPr fontId="2" type="noConversion"/>
  </si>
  <si>
    <t>SK하이닉스</t>
    <phoneticPr fontId="2" type="noConversion"/>
  </si>
  <si>
    <t>합계</t>
    <phoneticPr fontId="2" type="noConversion"/>
  </si>
  <si>
    <t>비고</t>
    <phoneticPr fontId="2" type="noConversion"/>
  </si>
  <si>
    <t>005930</t>
    <phoneticPr fontId="2" type="noConversion"/>
  </si>
  <si>
    <t>삼성전자</t>
    <phoneticPr fontId="2" type="noConversion"/>
  </si>
  <si>
    <t>메모리 빅사이클 기대 및 실적 상향 조정 예상</t>
    <phoneticPr fontId="2" type="noConversion"/>
  </si>
  <si>
    <t>알테오젠</t>
    <phoneticPr fontId="2" type="noConversion"/>
  </si>
  <si>
    <t>키트루다 SC 전환율 확대 및 기술이전 모멘텀 기대. 바이오 대표주</t>
  </si>
  <si>
    <t>196170</t>
    <phoneticPr fontId="2" type="noConversion"/>
  </si>
  <si>
    <t>LS ELECTRIC</t>
    <phoneticPr fontId="2" type="noConversion"/>
  </si>
  <si>
    <t>010120</t>
    <phoneticPr fontId="2" type="noConversion"/>
  </si>
  <si>
    <t>데이터센터 향 배전변압기 수주 증가에 따른 실적 및 멀티플 확장</t>
    <phoneticPr fontId="2" type="noConversion"/>
  </si>
  <si>
    <t>삼성전기</t>
    <phoneticPr fontId="2" type="noConversion"/>
  </si>
  <si>
    <t>009150</t>
  </si>
  <si>
    <t>MLCC와 기판 사업부 빅사이클 도래에 따른 리레이팅 지속</t>
  </si>
  <si>
    <t>222800</t>
  </si>
  <si>
    <t>심텍</t>
  </si>
  <si>
    <t>HD현대중공업</t>
    <phoneticPr fontId="2" type="noConversion"/>
  </si>
  <si>
    <t>후성</t>
    <phoneticPr fontId="2" type="noConversion"/>
  </si>
  <si>
    <t>비중확대</t>
    <phoneticPr fontId="2" type="noConversion"/>
  </si>
  <si>
    <t>신규매수</t>
    <phoneticPr fontId="2" type="noConversion"/>
  </si>
  <si>
    <t>상선, 특수선, 엔진 모두 성장세. DC향 엔진으로 리레이팅</t>
    <phoneticPr fontId="2" type="noConversion"/>
  </si>
  <si>
    <t>반도체 특수가스와 냉매의 구조적 P 상승으로 실적개선</t>
  </si>
  <si>
    <t>093370</t>
    <phoneticPr fontId="2" type="noConversion"/>
  </si>
  <si>
    <t>329180</t>
    <phoneticPr fontId="2" type="noConversion"/>
  </si>
  <si>
    <t>한국투자 가치도약랩(라이프자산)_성과모집형 1차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</si>
</sst>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6" fontId="3" fillId="0" borderId="0" xfId="1" applyNumberFormat="1" applyFont="1" applyAlignment="1">
      <alignment horizontal="left" vertical="center"/>
    </xf>
    <xf numFmtId="176" fontId="0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76" fontId="3" fillId="2" borderId="0" xfId="1" applyNumberFormat="1" applyFont="1" applyFill="1" applyAlignment="1">
      <alignment horizontal="center" vertical="center"/>
    </xf>
    <xf numFmtId="176" fontId="0" fillId="0" borderId="0" xfId="1" applyNumberFormat="1" applyFont="1" applyFill="1" applyAlignment="1">
      <alignment horizontal="center" vertical="center"/>
    </xf>
  </cellXfs>
  <cellStyles count="5">
    <cellStyle name="백분율" xfId="1" builtinId="5"/>
    <cellStyle name="백분율 3 2" xfId="2" xr:uid="{13DA9BDC-B947-46DB-A6F5-1CE40F6A044D}"/>
    <cellStyle name="쉼표 [0] 3" xfId="4" xr:uid="{9432259B-A852-49B0-9A18-DC4641499C7F}"/>
    <cellStyle name="표준" xfId="0" builtinId="0"/>
    <cellStyle name="표준 2" xfId="3" xr:uid="{604D5F96-B306-4DC7-A2AA-8133C5A47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9E5B-A541-45BF-A537-848431953548}">
  <sheetPr>
    <pageSetUpPr fitToPage="1"/>
  </sheetPr>
  <dimension ref="A1:H13"/>
  <sheetViews>
    <sheetView tabSelected="1" zoomScale="85" zoomScaleNormal="85" workbookViewId="0">
      <selection activeCell="B3" sqref="B3"/>
    </sheetView>
  </sheetViews>
  <sheetFormatPr defaultColWidth="12.625" defaultRowHeight="20.100000000000001" customHeight="1" x14ac:dyDescent="0.3"/>
  <cols>
    <col min="1" max="1" width="6.625" style="4" customWidth="1"/>
    <col min="2" max="2" width="12.625" style="6"/>
    <col min="3" max="3" width="24.625" style="4" customWidth="1"/>
    <col min="4" max="5" width="20.625" style="8" customWidth="1"/>
    <col min="6" max="6" width="12.625" style="4"/>
    <col min="7" max="7" width="114" style="4" customWidth="1"/>
    <col min="8" max="8" width="40.625" style="4" customWidth="1"/>
    <col min="9" max="16384" width="12.625" style="4"/>
  </cols>
  <sheetData>
    <row r="1" spans="1:8" s="2" customFormat="1" ht="20.100000000000001" customHeight="1" x14ac:dyDescent="0.3">
      <c r="A1" s="2" t="s">
        <v>2</v>
      </c>
      <c r="B1" s="5" t="s">
        <v>35</v>
      </c>
      <c r="D1" s="7"/>
      <c r="E1" s="7"/>
    </row>
    <row r="2" spans="1:8" s="2" customFormat="1" ht="20.100000000000001" customHeight="1" x14ac:dyDescent="0.3">
      <c r="A2" s="2" t="s">
        <v>3</v>
      </c>
      <c r="B2" s="1">
        <f ca="1">TODAY()</f>
        <v>46205</v>
      </c>
      <c r="D2" s="7"/>
      <c r="E2" s="7"/>
    </row>
    <row r="3" spans="1:8" s="3" customFormat="1" ht="20.100000000000001" customHeight="1" x14ac:dyDescent="0.3">
      <c r="A3" s="9" t="s">
        <v>8</v>
      </c>
      <c r="B3" s="10" t="s">
        <v>4</v>
      </c>
      <c r="C3" s="9" t="s">
        <v>0</v>
      </c>
      <c r="D3" s="11" t="s">
        <v>5</v>
      </c>
      <c r="E3" s="11" t="s">
        <v>6</v>
      </c>
      <c r="F3" s="9" t="s">
        <v>7</v>
      </c>
      <c r="G3" s="9" t="s">
        <v>1</v>
      </c>
      <c r="H3" s="9" t="s">
        <v>12</v>
      </c>
    </row>
    <row r="4" spans="1:8" ht="20.100000000000001" customHeight="1" x14ac:dyDescent="0.3">
      <c r="A4" s="4">
        <v>1</v>
      </c>
      <c r="B4" s="6" t="s">
        <v>13</v>
      </c>
      <c r="C4" s="4" t="s">
        <v>14</v>
      </c>
      <c r="D4" s="12">
        <v>0.15</v>
      </c>
      <c r="E4" s="12">
        <v>0.2</v>
      </c>
      <c r="F4" s="4" t="s">
        <v>29</v>
      </c>
      <c r="G4" s="4" t="s">
        <v>15</v>
      </c>
    </row>
    <row r="5" spans="1:8" ht="20.100000000000001" customHeight="1" x14ac:dyDescent="0.3">
      <c r="A5" s="4">
        <v>2</v>
      </c>
      <c r="B5" s="6" t="s">
        <v>9</v>
      </c>
      <c r="C5" s="4" t="s">
        <v>10</v>
      </c>
      <c r="D5" s="12">
        <v>0.15</v>
      </c>
      <c r="E5" s="12">
        <v>0.2</v>
      </c>
      <c r="F5" s="4" t="s">
        <v>29</v>
      </c>
      <c r="G5" s="4" t="s">
        <v>15</v>
      </c>
    </row>
    <row r="6" spans="1:8" ht="20.100000000000001" customHeight="1" x14ac:dyDescent="0.3">
      <c r="A6" s="4">
        <v>3</v>
      </c>
      <c r="B6" s="6" t="s">
        <v>23</v>
      </c>
      <c r="C6" s="4" t="s">
        <v>22</v>
      </c>
      <c r="D6" s="12">
        <v>0.05</v>
      </c>
      <c r="E6" s="12">
        <v>0.1</v>
      </c>
      <c r="F6" s="4" t="s">
        <v>29</v>
      </c>
      <c r="G6" s="4" t="s">
        <v>24</v>
      </c>
    </row>
    <row r="7" spans="1:8" ht="20.100000000000001" customHeight="1" x14ac:dyDescent="0.3">
      <c r="A7" s="4">
        <v>4</v>
      </c>
      <c r="B7" s="6" t="s">
        <v>20</v>
      </c>
      <c r="C7" s="4" t="s">
        <v>19</v>
      </c>
      <c r="D7" s="12">
        <v>0.05</v>
      </c>
      <c r="E7" s="12">
        <v>0.1</v>
      </c>
      <c r="F7" s="4" t="s">
        <v>29</v>
      </c>
      <c r="G7" s="4" t="s">
        <v>21</v>
      </c>
    </row>
    <row r="8" spans="1:8" ht="20.100000000000001" customHeight="1" x14ac:dyDescent="0.3">
      <c r="A8" s="4">
        <v>5</v>
      </c>
      <c r="B8" s="6" t="s">
        <v>18</v>
      </c>
      <c r="C8" s="4" t="s">
        <v>16</v>
      </c>
      <c r="D8" s="12">
        <v>7.0000000000000007E-2</v>
      </c>
      <c r="E8" s="12">
        <v>7.0000000000000007E-2</v>
      </c>
      <c r="G8" s="4" t="s">
        <v>17</v>
      </c>
    </row>
    <row r="9" spans="1:8" ht="20.100000000000001" customHeight="1" x14ac:dyDescent="0.3">
      <c r="A9" s="4">
        <v>6</v>
      </c>
      <c r="B9" s="6" t="s">
        <v>25</v>
      </c>
      <c r="C9" s="4" t="s">
        <v>26</v>
      </c>
      <c r="D9" s="12">
        <v>0.03</v>
      </c>
      <c r="E9" s="12">
        <v>0.05</v>
      </c>
      <c r="F9" s="4" t="s">
        <v>29</v>
      </c>
      <c r="G9" s="4" t="s">
        <v>24</v>
      </c>
    </row>
    <row r="10" spans="1:8" ht="20.100000000000001" customHeight="1" x14ac:dyDescent="0.3">
      <c r="A10" s="4">
        <v>7</v>
      </c>
      <c r="B10" s="6" t="s">
        <v>34</v>
      </c>
      <c r="C10" s="4" t="s">
        <v>27</v>
      </c>
      <c r="D10" s="12">
        <v>0</v>
      </c>
      <c r="E10" s="12">
        <v>0.05</v>
      </c>
      <c r="F10" s="4" t="s">
        <v>30</v>
      </c>
      <c r="G10" s="4" t="s">
        <v>31</v>
      </c>
    </row>
    <row r="11" spans="1:8" ht="20.100000000000001" customHeight="1" x14ac:dyDescent="0.3">
      <c r="A11" s="4">
        <v>8</v>
      </c>
      <c r="B11" s="6" t="s">
        <v>33</v>
      </c>
      <c r="C11" s="4" t="s">
        <v>28</v>
      </c>
      <c r="D11" s="12">
        <v>0</v>
      </c>
      <c r="E11" s="12">
        <v>0.05</v>
      </c>
      <c r="F11" s="4" t="s">
        <v>30</v>
      </c>
      <c r="G11" s="4" t="s">
        <v>32</v>
      </c>
    </row>
    <row r="12" spans="1:8" ht="20.100000000000001" customHeight="1" x14ac:dyDescent="0.3">
      <c r="E12" s="12"/>
    </row>
    <row r="13" spans="1:8" ht="20.100000000000001" customHeight="1" x14ac:dyDescent="0.3">
      <c r="C13" s="4" t="s">
        <v>11</v>
      </c>
      <c r="D13" s="8">
        <f>SUM(D4:D12)</f>
        <v>0.5</v>
      </c>
      <c r="E13" s="12">
        <f>SUM(E4:E12)</f>
        <v>0.82000000000000006</v>
      </c>
    </row>
  </sheetData>
  <sortState xmlns:xlrd2="http://schemas.microsoft.com/office/spreadsheetml/2017/richdata2" ref="A4:H11">
    <sortCondition descending="1" ref="E4:E11"/>
  </sortState>
  <phoneticPr fontId="2" type="noConversion"/>
  <pageMargins left="0.7" right="0.7" top="0.75" bottom="0.75" header="0.3" footer="0.3"/>
  <pageSetup paperSize="9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1CF6A68C0CE4B4488D25146A45A1245" ma:contentTypeVersion="15" ma:contentTypeDescription="새 문서를 만듭니다." ma:contentTypeScope="" ma:versionID="aa056d0da73b59da6f733cc7b74926e4">
  <xsd:schema xmlns:xsd="http://www.w3.org/2001/XMLSchema" xmlns:xs="http://www.w3.org/2001/XMLSchema" xmlns:p="http://schemas.microsoft.com/office/2006/metadata/properties" xmlns:ns2="a54e6e99-47dd-4f41-84a1-878ccffad305" xmlns:ns3="f311e3ca-a2a4-4911-9578-ca6c5abd4338" targetNamespace="http://schemas.microsoft.com/office/2006/metadata/properties" ma:root="true" ma:fieldsID="39f1f6c7b277557557cfd4febcbddb94" ns2:_="" ns3:_="">
    <xsd:import namespace="a54e6e99-47dd-4f41-84a1-878ccffad305"/>
    <xsd:import namespace="f311e3ca-a2a4-4911-9578-ca6c5abd43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e6e99-47dd-4f41-84a1-878ccffad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00baf3d-7661-4724-881d-f3f72e8eff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e3ca-a2a4-4911-9578-ca6c5abd433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7dfcfac-9b40-453a-b3fb-4f41d529ec67}" ma:internalName="TaxCatchAll" ma:showField="CatchAllData" ma:web="f311e3ca-a2a4-4911-9578-ca6c5abd43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4e6e99-47dd-4f41-84a1-878ccffad305">
      <Terms xmlns="http://schemas.microsoft.com/office/infopath/2007/PartnerControls"/>
    </lcf76f155ced4ddcb4097134ff3c332f>
    <TaxCatchAll xmlns="f311e3ca-a2a4-4911-9578-ca6c5abd4338" xsi:nil="true"/>
  </documentManagement>
</p:properties>
</file>

<file path=customXml/itemProps1.xml><?xml version="1.0" encoding="utf-8"?>
<ds:datastoreItem xmlns:ds="http://schemas.openxmlformats.org/officeDocument/2006/customXml" ds:itemID="{5801EF0A-5FB7-4AFC-B9D2-9DD0ACC868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5C199D-43D1-4A35-903C-EE837443B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4e6e99-47dd-4f41-84a1-878ccffad305"/>
    <ds:schemaRef ds:uri="f311e3ca-a2a4-4911-9578-ca6c5abd43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553EA7-0082-4281-983E-19BA71A32975}">
  <ds:schemaRefs>
    <ds:schemaRef ds:uri="http://schemas.microsoft.com/office/2006/metadata/properties"/>
    <ds:schemaRef ds:uri="http://schemas.microsoft.com/office/infopath/2007/PartnerControls"/>
    <ds:schemaRef ds:uri="a54e6e99-47dd-4f41-84a1-878ccffad305"/>
    <ds:schemaRef ds:uri="f311e3ca-a2a4-4911-9578-ca6c5abd43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최재군/랩상품부/한국투자증권/인터넷</dc:creator>
  <cp:lastModifiedBy>Sisyphe Kim</cp:lastModifiedBy>
  <cp:lastPrinted>2026-03-12T00:22:13Z</cp:lastPrinted>
  <dcterms:created xsi:type="dcterms:W3CDTF">2025-11-21T06:43:30Z</dcterms:created>
  <dcterms:modified xsi:type="dcterms:W3CDTF">2026-07-01T23:34:49Z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0x010100A1CF6A68C0CE4B4488D25146A45A1245</vt:lpwstr>
  </property>
  <property fmtid="{D5CDD505-2E9C-101B-9397-08002B2CF9AE}" pid="3" name="MediaServiceImageTags">
    <vt:lpwstr/>
  </property>
</Properties>
</file>