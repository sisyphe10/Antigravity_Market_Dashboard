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EF199DB-99E0-4B8F-81E5-B6E1E8AA5FED}" xr6:coauthVersionLast="47" xr6:coauthVersionMax="47" xr10:uidLastSave="{00000000-0000-0000-0000-000000000000}"/>
  <bookViews>
    <workbookView xWindow="-120" yWindow="-120" windowWidth="38640" windowHeight="21120" xr2:uid="{AC5E7C55-08D2-4546-BF68-733B76C0B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E15" i="1"/>
  <c r="D15" i="1"/>
</calcChain>
</file>

<file path=xl/sharedStrings.xml><?xml version="1.0" encoding="utf-8"?>
<sst xmlns="http://schemas.openxmlformats.org/spreadsheetml/2006/main" count="45" uniqueCount="44">
  <si>
    <t>종목명</t>
  </si>
  <si>
    <t>자문의견</t>
  </si>
  <si>
    <t>상품명</t>
    <phoneticPr fontId="2" type="noConversion"/>
  </si>
  <si>
    <t>날짜</t>
    <phoneticPr fontId="2" type="noConversion"/>
  </si>
  <si>
    <t>종목코드</t>
    <phoneticPr fontId="2" type="noConversion"/>
  </si>
  <si>
    <t>자문비중(변경전)</t>
    <phoneticPr fontId="2" type="noConversion"/>
  </si>
  <si>
    <t>자문비중(변경후)</t>
    <phoneticPr fontId="2" type="noConversion"/>
  </si>
  <si>
    <t>매매</t>
    <phoneticPr fontId="2" type="noConversion"/>
  </si>
  <si>
    <t>NO</t>
    <phoneticPr fontId="2" type="noConversion"/>
  </si>
  <si>
    <t>000660</t>
    <phoneticPr fontId="2" type="noConversion"/>
  </si>
  <si>
    <t>SK하이닉스</t>
    <phoneticPr fontId="2" type="noConversion"/>
  </si>
  <si>
    <t>합계</t>
    <phoneticPr fontId="2" type="noConversion"/>
  </si>
  <si>
    <t>비고</t>
    <phoneticPr fontId="2" type="noConversion"/>
  </si>
  <si>
    <t>005930</t>
    <phoneticPr fontId="2" type="noConversion"/>
  </si>
  <si>
    <t>삼성전자</t>
    <phoneticPr fontId="2" type="noConversion"/>
  </si>
  <si>
    <t>009150</t>
    <phoneticPr fontId="2" type="noConversion"/>
  </si>
  <si>
    <t>삼성전기</t>
    <phoneticPr fontId="2" type="noConversion"/>
  </si>
  <si>
    <t>메모리 빅사이클 기대 및 실적 상향 조정 예상. 코스피 대비 시가총액 비중 상승에 따른 추가확대</t>
  </si>
  <si>
    <t>삼화콘덴서</t>
    <phoneticPr fontId="2" type="noConversion"/>
  </si>
  <si>
    <t>MLCC 업황 호조에 따른 실적 턴어라운드로 점진적 비중확대 의견</t>
    <phoneticPr fontId="2" type="noConversion"/>
  </si>
  <si>
    <t>001820</t>
    <phoneticPr fontId="2" type="noConversion"/>
  </si>
  <si>
    <t>한미반도체</t>
    <phoneticPr fontId="2" type="noConversion"/>
  </si>
  <si>
    <t>042700</t>
    <phoneticPr fontId="2" type="noConversion"/>
  </si>
  <si>
    <t>MLCC, 기판 전방 업황 호조. 가동률 상승에 따른 실적상승. 포트폴리오 조정을 위한 일부 차익실현</t>
    <phoneticPr fontId="2" type="noConversion"/>
  </si>
  <si>
    <t>동진쎄미켐</t>
    <phoneticPr fontId="2" type="noConversion"/>
  </si>
  <si>
    <t>005290</t>
    <phoneticPr fontId="2" type="noConversion"/>
  </si>
  <si>
    <t xml:space="preserve"> </t>
    <phoneticPr fontId="2" type="noConversion"/>
  </si>
  <si>
    <t>HBM4 수요 증가에 따른 TC Bonder 장비 수주 기대. 포트폴리오 조정을 위한 비중 축소</t>
    <phoneticPr fontId="2" type="noConversion"/>
  </si>
  <si>
    <t>후성</t>
    <phoneticPr fontId="2" type="noConversion"/>
  </si>
  <si>
    <t>093370</t>
    <phoneticPr fontId="2" type="noConversion"/>
  </si>
  <si>
    <t>반도체 특수가스와 냉매의 구조적 P 상승으로 실적개선</t>
  </si>
  <si>
    <t>심텍</t>
    <phoneticPr fontId="2" type="noConversion"/>
  </si>
  <si>
    <t>알테오젠</t>
    <phoneticPr fontId="2" type="noConversion"/>
  </si>
  <si>
    <t>패키지 기판 턴어라운드, LPDDR 기판 수요의 구조적 성장으로 기판 TAM 확장</t>
  </si>
  <si>
    <t>포트폴리오 조정 및 시장 변동성 확대에 따른 현금확보</t>
  </si>
  <si>
    <t>222800</t>
    <phoneticPr fontId="2" type="noConversion"/>
  </si>
  <si>
    <t>196170</t>
    <phoneticPr fontId="2" type="noConversion"/>
  </si>
  <si>
    <t>LS ELECTRIC</t>
    <phoneticPr fontId="2" type="noConversion"/>
  </si>
  <si>
    <t>전량매도</t>
    <phoneticPr fontId="2" type="noConversion"/>
  </si>
  <si>
    <t>포트폴리오 조정을 위한 전량매도</t>
    <phoneticPr fontId="2" type="noConversion"/>
  </si>
  <si>
    <t>데이터센터 향 배전변압기 수주 증가에 따른 실적 및 멀티플 확장</t>
    <phoneticPr fontId="2" type="noConversion"/>
  </si>
  <si>
    <t>010120</t>
    <phoneticPr fontId="2" type="noConversion"/>
  </si>
  <si>
    <t>신규매수</t>
    <phoneticPr fontId="2" type="noConversion"/>
  </si>
  <si>
    <t>한국투자 가치도약랩(라이프자산)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</si>
</sst>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6" fontId="3" fillId="0" borderId="0" xfId="1" applyNumberFormat="1" applyFont="1" applyAlignment="1">
      <alignment horizontal="left" vertical="center"/>
    </xf>
    <xf numFmtId="176" fontId="0" fillId="0" borderId="0" xfId="1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176" fontId="3" fillId="2" borderId="0" xfId="1" applyNumberFormat="1" applyFont="1" applyFill="1" applyAlignment="1">
      <alignment horizontal="center" vertical="center"/>
    </xf>
    <xf numFmtId="176" fontId="0" fillId="0" borderId="0" xfId="1" applyNumberFormat="1" applyFont="1" applyFill="1" applyAlignment="1">
      <alignment horizontal="center" vertical="center"/>
    </xf>
  </cellXfs>
  <cellStyles count="4">
    <cellStyle name="백분율" xfId="1" builtinId="5"/>
    <cellStyle name="백분율 3 2" xfId="2" xr:uid="{5F26CC90-024E-4F10-A58F-A1F9E63A73CB}"/>
    <cellStyle name="쉼표 [0] 3" xfId="3" xr:uid="{689B705B-11EE-4C8A-BC74-714DB6C95FE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9E5B-A541-45BF-A537-848431953548}">
  <sheetPr>
    <pageSetUpPr fitToPage="1"/>
  </sheetPr>
  <dimension ref="A1:H21"/>
  <sheetViews>
    <sheetView tabSelected="1" zoomScaleNormal="100" workbookViewId="0">
      <selection activeCell="C4" sqref="C4"/>
    </sheetView>
  </sheetViews>
  <sheetFormatPr defaultColWidth="12.625" defaultRowHeight="20.100000000000001" customHeight="1" x14ac:dyDescent="0.3"/>
  <cols>
    <col min="1" max="1" width="6.625" style="4" customWidth="1"/>
    <col min="2" max="2" width="12.625" style="6"/>
    <col min="3" max="3" width="24.625" style="4" customWidth="1"/>
    <col min="4" max="5" width="20.625" style="8" customWidth="1"/>
    <col min="6" max="6" width="15" style="4" customWidth="1"/>
    <col min="7" max="7" width="118.75" style="4" customWidth="1"/>
    <col min="8" max="8" width="40.625" style="4" customWidth="1"/>
    <col min="9" max="16384" width="12.625" style="4"/>
  </cols>
  <sheetData>
    <row r="1" spans="1:8" s="2" customFormat="1" ht="20.100000000000001" customHeight="1" x14ac:dyDescent="0.3">
      <c r="A1" s="2" t="s">
        <v>2</v>
      </c>
      <c r="B1" s="5" t="s">
        <v>43</v>
      </c>
      <c r="D1" s="7"/>
      <c r="E1" s="7"/>
    </row>
    <row r="2" spans="1:8" s="2" customFormat="1" ht="20.100000000000001" customHeight="1" x14ac:dyDescent="0.3">
      <c r="A2" s="2" t="s">
        <v>3</v>
      </c>
      <c r="B2" s="1">
        <f ca="1">TODAY()</f>
        <v>46205</v>
      </c>
      <c r="D2" s="7"/>
      <c r="E2" s="7"/>
    </row>
    <row r="3" spans="1:8" s="3" customFormat="1" ht="20.100000000000001" customHeight="1" x14ac:dyDescent="0.3">
      <c r="A3" s="9" t="s">
        <v>8</v>
      </c>
      <c r="B3" s="10" t="s">
        <v>4</v>
      </c>
      <c r="C3" s="9" t="s">
        <v>0</v>
      </c>
      <c r="D3" s="11" t="s">
        <v>5</v>
      </c>
      <c r="E3" s="11" t="s">
        <v>6</v>
      </c>
      <c r="F3" s="9" t="s">
        <v>7</v>
      </c>
      <c r="G3" s="9" t="s">
        <v>1</v>
      </c>
      <c r="H3" s="9" t="s">
        <v>12</v>
      </c>
    </row>
    <row r="4" spans="1:8" ht="20.100000000000001" customHeight="1" x14ac:dyDescent="0.3">
      <c r="A4" s="4">
        <v>1</v>
      </c>
      <c r="B4" s="6" t="s">
        <v>9</v>
      </c>
      <c r="C4" s="4" t="s">
        <v>10</v>
      </c>
      <c r="D4" s="8">
        <v>0.3</v>
      </c>
      <c r="E4" s="8">
        <v>0.3</v>
      </c>
      <c r="G4" s="4" t="s">
        <v>17</v>
      </c>
    </row>
    <row r="5" spans="1:8" ht="20.100000000000001" customHeight="1" x14ac:dyDescent="0.3">
      <c r="A5" s="4">
        <v>2</v>
      </c>
      <c r="B5" s="6" t="s">
        <v>13</v>
      </c>
      <c r="C5" s="4" t="s">
        <v>14</v>
      </c>
      <c r="D5" s="8">
        <v>0.3</v>
      </c>
      <c r="E5" s="8">
        <v>0.3</v>
      </c>
      <c r="G5" s="4" t="s">
        <v>17</v>
      </c>
    </row>
    <row r="6" spans="1:8" ht="20.100000000000001" customHeight="1" x14ac:dyDescent="0.3">
      <c r="A6" s="4">
        <v>3</v>
      </c>
      <c r="B6" s="6" t="s">
        <v>36</v>
      </c>
      <c r="C6" s="4" t="s">
        <v>32</v>
      </c>
      <c r="D6" s="8">
        <v>0.1</v>
      </c>
      <c r="E6" s="8">
        <v>0.1</v>
      </c>
      <c r="G6" s="4" t="s">
        <v>34</v>
      </c>
    </row>
    <row r="7" spans="1:8" ht="20.100000000000001" customHeight="1" x14ac:dyDescent="0.3">
      <c r="A7" s="4">
        <v>4</v>
      </c>
      <c r="B7" s="6" t="s">
        <v>15</v>
      </c>
      <c r="C7" s="4" t="s">
        <v>16</v>
      </c>
      <c r="D7" s="8">
        <v>7.0000000000000007E-2</v>
      </c>
      <c r="E7" s="8">
        <v>7.0000000000000007E-2</v>
      </c>
      <c r="G7" s="4" t="s">
        <v>23</v>
      </c>
    </row>
    <row r="8" spans="1:8" ht="20.100000000000001" customHeight="1" x14ac:dyDescent="0.3">
      <c r="A8" s="4">
        <v>5</v>
      </c>
      <c r="B8" s="6" t="s">
        <v>22</v>
      </c>
      <c r="C8" s="4" t="s">
        <v>21</v>
      </c>
      <c r="D8" s="12">
        <v>0.05</v>
      </c>
      <c r="E8" s="12">
        <v>0.05</v>
      </c>
      <c r="G8" s="4" t="s">
        <v>27</v>
      </c>
    </row>
    <row r="9" spans="1:8" ht="20.100000000000001" customHeight="1" x14ac:dyDescent="0.3">
      <c r="A9" s="4">
        <v>6</v>
      </c>
      <c r="B9" s="6" t="s">
        <v>20</v>
      </c>
      <c r="C9" s="4" t="s">
        <v>18</v>
      </c>
      <c r="D9" s="8">
        <v>0.05</v>
      </c>
      <c r="E9" s="8">
        <v>0.05</v>
      </c>
      <c r="G9" s="4" t="s">
        <v>19</v>
      </c>
    </row>
    <row r="10" spans="1:8" ht="20.100000000000001" customHeight="1" x14ac:dyDescent="0.3">
      <c r="A10" s="4">
        <v>7</v>
      </c>
      <c r="B10" s="6" t="s">
        <v>41</v>
      </c>
      <c r="C10" s="4" t="s">
        <v>37</v>
      </c>
      <c r="D10" s="8">
        <v>0</v>
      </c>
      <c r="E10" s="8">
        <v>0.05</v>
      </c>
      <c r="F10" s="4" t="s">
        <v>42</v>
      </c>
      <c r="G10" s="4" t="s">
        <v>40</v>
      </c>
    </row>
    <row r="11" spans="1:8" ht="20.100000000000001" customHeight="1" x14ac:dyDescent="0.3">
      <c r="A11" s="4">
        <v>8</v>
      </c>
      <c r="B11" s="6" t="s">
        <v>29</v>
      </c>
      <c r="C11" s="4" t="s">
        <v>28</v>
      </c>
      <c r="D11" s="8">
        <v>0.03</v>
      </c>
      <c r="E11" s="8">
        <v>0.03</v>
      </c>
      <c r="G11" s="4" t="s">
        <v>30</v>
      </c>
    </row>
    <row r="12" spans="1:8" ht="20.100000000000001" customHeight="1" x14ac:dyDescent="0.3">
      <c r="A12" s="4">
        <v>9</v>
      </c>
      <c r="B12" s="6" t="s">
        <v>35</v>
      </c>
      <c r="C12" s="4" t="s">
        <v>31</v>
      </c>
      <c r="D12" s="8">
        <v>0.03</v>
      </c>
      <c r="E12" s="8">
        <v>0.03</v>
      </c>
      <c r="G12" s="4" t="s">
        <v>33</v>
      </c>
    </row>
    <row r="13" spans="1:8" ht="20.100000000000001" customHeight="1" x14ac:dyDescent="0.3">
      <c r="A13" s="4">
        <v>10</v>
      </c>
      <c r="B13" s="6" t="s">
        <v>25</v>
      </c>
      <c r="C13" s="4" t="s">
        <v>24</v>
      </c>
      <c r="D13" s="8">
        <v>0.05</v>
      </c>
      <c r="E13" s="8">
        <v>0</v>
      </c>
      <c r="F13" s="4" t="s">
        <v>38</v>
      </c>
      <c r="G13" s="4" t="s">
        <v>39</v>
      </c>
    </row>
    <row r="14" spans="1:8" ht="20.100000000000001" customHeight="1" x14ac:dyDescent="0.3">
      <c r="D14" s="12"/>
      <c r="E14" s="12"/>
    </row>
    <row r="15" spans="1:8" ht="20.100000000000001" customHeight="1" x14ac:dyDescent="0.3">
      <c r="C15" s="4" t="s">
        <v>11</v>
      </c>
      <c r="D15" s="8">
        <f>SUM(D4:D13)</f>
        <v>0.9800000000000002</v>
      </c>
      <c r="E15" s="8">
        <f>SUM(E4:E13)</f>
        <v>0.9800000000000002</v>
      </c>
    </row>
    <row r="21" spans="3:3" ht="20.100000000000001" customHeight="1" x14ac:dyDescent="0.3">
      <c r="C21" s="4" t="s">
        <v>26</v>
      </c>
    </row>
  </sheetData>
  <sortState xmlns:xlrd2="http://schemas.microsoft.com/office/spreadsheetml/2017/richdata2" ref="A4:G13">
    <sortCondition descending="1" ref="E4:E13"/>
  </sortState>
  <phoneticPr fontId="2" type="noConversion"/>
  <pageMargins left="0.7" right="0.7" top="0.75" bottom="0.75" header="0.3" footer="0.3"/>
  <pageSetup paperSize="9" scale="4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4e6e99-47dd-4f41-84a1-878ccffad305">
      <Terms xmlns="http://schemas.microsoft.com/office/infopath/2007/PartnerControls"/>
    </lcf76f155ced4ddcb4097134ff3c332f>
    <TaxCatchAll xmlns="f311e3ca-a2a4-4911-9578-ca6c5abd433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1CF6A68C0CE4B4488D25146A45A1245" ma:contentTypeVersion="15" ma:contentTypeDescription="새 문서를 만듭니다." ma:contentTypeScope="" ma:versionID="aa056d0da73b59da6f733cc7b74926e4">
  <xsd:schema xmlns:xsd="http://www.w3.org/2001/XMLSchema" xmlns:xs="http://www.w3.org/2001/XMLSchema" xmlns:p="http://schemas.microsoft.com/office/2006/metadata/properties" xmlns:ns2="a54e6e99-47dd-4f41-84a1-878ccffad305" xmlns:ns3="f311e3ca-a2a4-4911-9578-ca6c5abd4338" targetNamespace="http://schemas.microsoft.com/office/2006/metadata/properties" ma:root="true" ma:fieldsID="39f1f6c7b277557557cfd4febcbddb94" ns2:_="" ns3:_="">
    <xsd:import namespace="a54e6e99-47dd-4f41-84a1-878ccffad305"/>
    <xsd:import namespace="f311e3ca-a2a4-4911-9578-ca6c5abd43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e6e99-47dd-4f41-84a1-878ccffad3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f00baf3d-7661-4724-881d-f3f72e8eff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e3ca-a2a4-4911-9578-ca6c5abd433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7dfcfac-9b40-453a-b3fb-4f41d529ec67}" ma:internalName="TaxCatchAll" ma:showField="CatchAllData" ma:web="f311e3ca-a2a4-4911-9578-ca6c5abd43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A87864-49CE-4243-A85D-31964B8C431B}">
  <ds:schemaRefs>
    <ds:schemaRef ds:uri="http://schemas.microsoft.com/office/2006/metadata/properties"/>
    <ds:schemaRef ds:uri="http://schemas.microsoft.com/office/infopath/2007/PartnerControls"/>
    <ds:schemaRef ds:uri="a54e6e99-47dd-4f41-84a1-878ccffad305"/>
    <ds:schemaRef ds:uri="f311e3ca-a2a4-4911-9578-ca6c5abd4338"/>
  </ds:schemaRefs>
</ds:datastoreItem>
</file>

<file path=customXml/itemProps2.xml><?xml version="1.0" encoding="utf-8"?>
<ds:datastoreItem xmlns:ds="http://schemas.openxmlformats.org/officeDocument/2006/customXml" ds:itemID="{6D743DF8-37DF-4FDB-A938-FF077F9A9B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822553-13E7-4BE9-821C-98DF7DC5F4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4e6e99-47dd-4f41-84a1-878ccffad305"/>
    <ds:schemaRef ds:uri="f311e3ca-a2a4-4911-9578-ca6c5abd43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최재군/랩상품부/한국투자증권/인터넷</dc:creator>
  <cp:lastModifiedBy>Sisyphe Kim</cp:lastModifiedBy>
  <cp:lastPrinted>2026-03-12T00:21:44Z</cp:lastPrinted>
  <dcterms:created xsi:type="dcterms:W3CDTF">2025-11-21T06:43:30Z</dcterms:created>
  <dcterms:modified xsi:type="dcterms:W3CDTF">2026-07-01T23:34:58Z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0x010100A1CF6A68C0CE4B4488D25146A45A1245</vt:lpwstr>
  </property>
  <property fmtid="{D5CDD505-2E9C-101B-9397-08002B2CF9AE}" pid="3" name="MediaServiceImageTags">
    <vt:lpwstr/>
  </property>
</Properties>
</file>