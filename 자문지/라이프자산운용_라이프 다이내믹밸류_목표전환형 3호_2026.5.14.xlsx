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H랩_라이프ValueESG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'NH랩_라이프ValueESG'!$B$6:$I$13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_-* #,##0.00_-;\-* #,##0.00_-;_-* &quot;-&quot;_-;_-@_-"/>
    <numFmt numFmtId="166" formatCode="0.0_ "/>
    <numFmt numFmtId="167" formatCode="yyyy-mm-dd"/>
    <numFmt numFmtId="168" formatCode="_(&quot;$&quot;* #,##0.00_);_(&quot;$&quot;* \(#,##0.00\);_(&quot;$&quot;* &quot;-&quot;??_);_(@_)"/>
    <numFmt numFmtId="169" formatCode="#,##0\ &quot;F&quot;;\-#,##0\ &quot;F&quot;"/>
    <numFmt numFmtId="170" formatCode="_ &quot;₩&quot;* #,##0_ ;_ &quot;₩&quot;* \-#,##0_ ;_ &quot;₩&quot;* &quot;-&quot;_ ;_ @_ "/>
    <numFmt numFmtId="171" formatCode="#,##0.00000;[Red]\-#,##0.00000"/>
    <numFmt numFmtId="172" formatCode="&quot;(&quot;#,##0&quot;)&quot;;&quot;(&quot;\-#,##0&quot;)&quot;"/>
    <numFmt numFmtId="173" formatCode="_ * #,##0.000_ ;_ * \-#,##0.000_ ;_ * &quot;-&quot;_ ;_ @_ "/>
    <numFmt numFmtId="174" formatCode="0.0_)"/>
    <numFmt numFmtId="175" formatCode="#,##0.000"/>
    <numFmt numFmtId="176" formatCode="&quot;$&quot;#,##0_);\(&quot;$&quot;#,##0\)"/>
    <numFmt numFmtId="177" formatCode="0.0"/>
    <numFmt numFmtId="178" formatCode="0_%_);\(0\)_%;0_%_);@_%_)"/>
    <numFmt numFmtId="179" formatCode="&quot;₩&quot;#,##0.00;[Red]&quot;₩&quot;\-#,##0.00"/>
    <numFmt numFmtId="180" formatCode="_ * #,##0_ ;_ * \-#,##0_ ;_ * &quot;-&quot;_ ;_ @_ "/>
  </numFmts>
  <fonts count="109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sz val="9"/>
    </font>
    <font>
      <name val="Arial"/>
      <family val="2"/>
      <color theme="1"/>
      <sz val="9"/>
    </font>
    <font>
      <name val="맑은 고딕"/>
      <charset val="129"/>
      <family val="3"/>
      <color theme="1"/>
      <sz val="11"/>
      <scheme val="minor"/>
    </font>
    <font>
      <name val="Arial"/>
      <charset val="129"/>
      <family val="2"/>
      <color theme="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맑은 고딕"/>
      <family val="2"/>
      <color theme="1"/>
      <sz val="11"/>
      <scheme val="minor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8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indexed="10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30"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8" fillId="0" borderId="0" applyAlignment="1">
      <alignment vertical="center"/>
    </xf>
    <xf numFmtId="0" fontId="50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52" fillId="0" borderId="0" applyAlignment="1">
      <alignment vertical="center"/>
    </xf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6" fillId="0" borderId="0"/>
    <xf numFmtId="0" fontId="59" fillId="0" borderId="0" applyAlignment="1">
      <alignment vertical="center"/>
    </xf>
    <xf numFmtId="0" fontId="6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56" fillId="0" borderId="0"/>
    <xf numFmtId="0" fontId="56" fillId="0" borderId="0"/>
    <xf numFmtId="42" fontId="56" fillId="0" borderId="0"/>
    <xf numFmtId="168" fontId="56" fillId="0" borderId="0"/>
    <xf numFmtId="39" fontId="68" fillId="0" borderId="0" applyAlignment="1">
      <alignment horizontal="right" vertical="center"/>
    </xf>
    <xf numFmtId="0" fontId="69" fillId="0" borderId="0"/>
    <xf numFmtId="0" fontId="70" fillId="0" borderId="0" applyAlignment="1">
      <alignment horizontal="right"/>
    </xf>
    <xf numFmtId="169" fontId="57" fillId="0" borderId="0"/>
    <xf numFmtId="0" fontId="71" fillId="0" borderId="0"/>
    <xf numFmtId="0" fontId="56" fillId="0" borderId="0"/>
    <xf numFmtId="0" fontId="72" fillId="0" borderId="0"/>
    <xf numFmtId="0" fontId="73" fillId="0" borderId="0"/>
    <xf numFmtId="0" fontId="74" fillId="2" borderId="0" applyAlignment="1" applyProtection="1">
      <alignment vertical="center"/>
      <protection locked="0" hidden="0"/>
    </xf>
    <xf numFmtId="0" fontId="47" fillId="0" borderId="0"/>
    <xf numFmtId="170" fontId="52" fillId="0" borderId="0"/>
    <xf numFmtId="0" fontId="56" fillId="0" borderId="0"/>
    <xf numFmtId="0" fontId="61" fillId="0" borderId="0"/>
    <xf numFmtId="4" fontId="75" fillId="0" borderId="0" applyAlignment="1">
      <alignment vertical="center"/>
    </xf>
    <xf numFmtId="0" fontId="47" fillId="0" borderId="0"/>
    <xf numFmtId="168" fontId="56" fillId="0" borderId="0"/>
    <xf numFmtId="171" fontId="56" fillId="0" borderId="0"/>
    <xf numFmtId="14" fontId="70" fillId="0" borderId="0" applyAlignment="1">
      <alignment horizontal="left"/>
    </xf>
    <xf numFmtId="172" fontId="52" fillId="0" borderId="0"/>
    <xf numFmtId="173" fontId="52" fillId="0" borderId="0"/>
    <xf numFmtId="174" fontId="52" fillId="0" borderId="0"/>
    <xf numFmtId="175" fontId="52" fillId="0" borderId="0"/>
    <xf numFmtId="38" fontId="76" fillId="2" borderId="0"/>
    <xf numFmtId="0" fontId="77" fillId="0" borderId="0" applyAlignment="1">
      <alignment horizontal="left"/>
    </xf>
    <xf numFmtId="0" fontId="78" fillId="0" borderId="5" applyAlignment="1">
      <alignment horizontal="left" vertical="center"/>
    </xf>
    <xf numFmtId="0" fontId="78" fillId="0" borderId="6" applyAlignment="1">
      <alignment horizontal="left" vertical="center"/>
    </xf>
    <xf numFmtId="0" fontId="78" fillId="0" borderId="0"/>
    <xf numFmtId="0" fontId="54" fillId="0" borderId="0"/>
    <xf numFmtId="0" fontId="79" fillId="3" borderId="0" applyAlignment="1">
      <alignment horizontal="left"/>
    </xf>
    <xf numFmtId="0" fontId="80" fillId="0" borderId="0"/>
    <xf numFmtId="0" fontId="81" fillId="0" borderId="0"/>
    <xf numFmtId="10" fontId="76" fillId="2" borderId="1"/>
    <xf numFmtId="10" fontId="82" fillId="4" borderId="7"/>
    <xf numFmtId="0" fontId="83" fillId="0" borderId="4"/>
    <xf numFmtId="176" fontId="84" fillId="0" borderId="0"/>
    <xf numFmtId="0" fontId="56" fillId="0" borderId="0"/>
    <xf numFmtId="0" fontId="85" fillId="0" borderId="8"/>
    <xf numFmtId="0" fontId="56" fillId="0" borderId="0"/>
    <xf numFmtId="0" fontId="56" fillId="0" borderId="0"/>
    <xf numFmtId="10" fontId="56" fillId="0" borderId="0"/>
    <xf numFmtId="0" fontId="86" fillId="0" borderId="0" applyAlignment="1">
      <alignment horizontal="right"/>
    </xf>
    <xf numFmtId="177" fontId="56" fillId="0" borderId="0" applyAlignment="1">
      <alignment horizontal="right" vertical="center"/>
    </xf>
    <xf numFmtId="0" fontId="87" fillId="0" borderId="3" applyAlignment="1">
      <alignment horizontal="right" vertical="center"/>
    </xf>
    <xf numFmtId="0" fontId="48" fillId="0" borderId="0" applyAlignment="1">
      <alignment horizontal="right"/>
    </xf>
    <xf numFmtId="14" fontId="88" fillId="0" borderId="0" applyAlignment="1">
      <alignment horizontal="left"/>
    </xf>
    <xf numFmtId="0" fontId="89" fillId="0" borderId="0" applyProtection="1">
      <protection locked="0" hidden="0"/>
    </xf>
    <xf numFmtId="0" fontId="76" fillId="0" borderId="9" applyAlignment="1">
      <alignment horizontal="right" vertical="center" wrapText="1"/>
    </xf>
    <xf numFmtId="0" fontId="83" fillId="0" borderId="0"/>
    <xf numFmtId="0" fontId="90" fillId="0" borderId="6" applyAlignment="1">
      <alignment vertical="center"/>
    </xf>
    <xf numFmtId="40" fontId="91" fillId="0" borderId="0" applyAlignment="1">
      <alignment horizontal="right"/>
    </xf>
    <xf numFmtId="0" fontId="92" fillId="0" borderId="0" applyAlignment="1">
      <alignment vertical="center"/>
    </xf>
    <xf numFmtId="178" fontId="92" fillId="0" borderId="9" applyAlignment="1">
      <alignment horizontal="right" vertical="center"/>
    </xf>
    <xf numFmtId="0" fontId="93" fillId="0" borderId="9" applyAlignment="1" applyProtection="1">
      <alignment horizontal="right"/>
      <protection locked="0" hidden="0"/>
    </xf>
    <xf numFmtId="0" fontId="93" fillId="0" borderId="0" applyProtection="1">
      <protection locked="0" hidden="0"/>
    </xf>
    <xf numFmtId="0" fontId="94" fillId="0" borderId="10" applyProtection="1">
      <protection locked="0" hidden="0"/>
    </xf>
    <xf numFmtId="0" fontId="95" fillId="0" borderId="11" applyAlignment="1">
      <alignment horizontal="left" vertical="top"/>
    </xf>
    <xf numFmtId="0" fontId="96" fillId="0" borderId="9" applyAlignment="1">
      <alignment horizontal="left"/>
    </xf>
    <xf numFmtId="0" fontId="97" fillId="5" borderId="0" applyAlignment="1">
      <alignment vertical="center"/>
    </xf>
    <xf numFmtId="0" fontId="96" fillId="0" borderId="6"/>
    <xf numFmtId="0" fontId="98" fillId="2" borderId="0"/>
    <xf numFmtId="0" fontId="99" fillId="6" borderId="1" applyAlignment="1" applyProtection="1">
      <alignment horizontal="center"/>
      <protection locked="0" hidden="0"/>
    </xf>
    <xf numFmtId="0" fontId="62" fillId="0" borderId="0"/>
    <xf numFmtId="0" fontId="63" fillId="0" borderId="0"/>
    <xf numFmtId="179" fontId="56" fillId="0" borderId="1" applyAlignment="1">
      <alignment horizontal="right" vertical="center" shrinkToFit="1"/>
    </xf>
    <xf numFmtId="0" fontId="64" fillId="0" borderId="0" applyAlignment="1" applyProtection="1">
      <alignment vertical="top"/>
      <protection locked="0" hidden="0"/>
    </xf>
    <xf numFmtId="40" fontId="65" fillId="0" borderId="0"/>
    <xf numFmtId="38" fontId="65" fillId="0" borderId="0"/>
    <xf numFmtId="0" fontId="65" fillId="0" borderId="0"/>
    <xf numFmtId="0" fontId="65" fillId="0" borderId="0"/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2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3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0" fontId="66" fillId="0" borderId="0"/>
    <xf numFmtId="0" fontId="52" fillId="0" borderId="0"/>
    <xf numFmtId="0" fontId="52" fillId="0" borderId="0"/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56" fillId="0" borderId="0"/>
    <xf numFmtId="0" fontId="57" fillId="0" borderId="0"/>
    <xf numFmtId="180" fontId="52" fillId="0" borderId="0"/>
    <xf numFmtId="0" fontId="57" fillId="0" borderId="0"/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2" fillId="0" borderId="0"/>
    <xf numFmtId="0" fontId="67" fillId="0" borderId="12" applyAlignment="1">
      <alignment horizontal="left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0" fontId="46" fillId="0" borderId="0" applyAlignment="1">
      <alignment vertical="center"/>
    </xf>
    <xf numFmtId="9" fontId="46" fillId="0" borderId="0" applyAlignment="1">
      <alignment vertical="center"/>
    </xf>
    <xf numFmtId="0" fontId="100" fillId="0" borderId="0"/>
    <xf numFmtId="0" fontId="51" fillId="0" borderId="0" applyAlignment="1">
      <alignment vertical="center"/>
    </xf>
    <xf numFmtId="0" fontId="48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41" fontId="51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1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103" fillId="0" borderId="0" applyAlignment="1" pivotButton="0" quotePrefix="0" xfId="0">
      <alignment horizontal="center" vertical="center"/>
    </xf>
    <xf numFmtId="0" fontId="104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vertical="center"/>
    </xf>
    <xf numFmtId="0" fontId="101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103" fillId="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 wrapText="1"/>
    </xf>
    <xf numFmtId="0" fontId="103" fillId="0" borderId="2" applyAlignment="1" pivotButton="0" quotePrefix="0" xfId="0">
      <alignment horizontal="center" vertical="center"/>
    </xf>
    <xf numFmtId="0" fontId="101" fillId="7" borderId="0" applyAlignment="1" pivotButton="0" quotePrefix="0" xfId="0">
      <alignment horizontal="center" vertical="center"/>
    </xf>
    <xf numFmtId="165" fontId="101" fillId="7" borderId="1" applyAlignment="1" pivotButton="0" quotePrefix="0" xfId="4">
      <alignment horizontal="left" vertical="center"/>
    </xf>
    <xf numFmtId="0" fontId="103" fillId="0" borderId="14" applyAlignment="1" pivotButton="0" quotePrefix="0" xfId="0">
      <alignment horizontal="center" vertical="center"/>
    </xf>
    <xf numFmtId="0" fontId="101" fillId="7" borderId="1" applyAlignment="1" pivotButton="0" quotePrefix="0" xfId="0">
      <alignment horizontal="center" vertical="center"/>
    </xf>
    <xf numFmtId="0" fontId="101" fillId="7" borderId="1" applyAlignment="1" pivotButton="0" quotePrefix="0" xfId="324">
      <alignment horizontal="center" vertical="center"/>
    </xf>
    <xf numFmtId="166" fontId="103" fillId="7" borderId="1" applyAlignment="1" pivotButton="0" quotePrefix="0" xfId="0">
      <alignment horizontal="center" vertical="center" wrapText="1"/>
    </xf>
    <xf numFmtId="10" fontId="106" fillId="0" borderId="1" applyAlignment="1" pivotButton="0" quotePrefix="0" xfId="407">
      <alignment horizontal="center" vertical="center"/>
    </xf>
    <xf numFmtId="0" fontId="107" fillId="0" borderId="13" applyAlignment="1" pivotButton="0" quotePrefix="0" xfId="0">
      <alignment vertical="center"/>
    </xf>
    <xf numFmtId="0" fontId="103" fillId="7" borderId="1" applyAlignment="1" pivotButton="0" quotePrefix="0" xfId="324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101" fillId="7" borderId="1" applyAlignment="1" pivotButton="0" quotePrefix="1" xfId="324">
      <alignment horizontal="center" vertical="center"/>
    </xf>
    <xf numFmtId="0" fontId="107" fillId="0" borderId="15" applyAlignment="1" pivotButton="0" quotePrefix="0" xfId="0">
      <alignment vertical="center"/>
    </xf>
    <xf numFmtId="31" fontId="103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0" fillId="0" borderId="0" pivotButton="0" quotePrefix="0" xfId="0"/>
    <xf numFmtId="167" fontId="103" fillId="0" borderId="0" applyAlignment="1" pivotButton="0" quotePrefix="0" xfId="0">
      <alignment horizontal="left" vertical="center"/>
    </xf>
    <xf numFmtId="166" fontId="103" fillId="7" borderId="1" applyAlignment="1" pivotButton="0" quotePrefix="0" xfId="0">
      <alignment horizontal="center" vertical="center" wrapText="1"/>
    </xf>
    <xf numFmtId="165" fontId="101" fillId="7" borderId="1" applyAlignment="1" pivotButton="0" quotePrefix="0" xfId="4">
      <alignment horizontal="left" vertical="center"/>
    </xf>
    <xf numFmtId="167" fontId="103" fillId="0" borderId="0" applyAlignment="1" pivotButton="0" quotePrefix="0" xfId="0">
      <alignment horizontal="left" vertical="center"/>
    </xf>
  </cellXfs>
  <cellStyles count="630">
    <cellStyle name="표준" xfId="0" builtinId="0"/>
    <cellStyle name="Normal 3" xfId="1"/>
    <cellStyle name="표준 2" xfId="2"/>
    <cellStyle name="Normal 2 3" xfId="3"/>
    <cellStyle name="쉼표 [0]" xfId="4" builtinId="6"/>
    <cellStyle name="표준 3" xfId="5"/>
    <cellStyle name="표준 3 2" xfId="6"/>
    <cellStyle name="표준 3 3" xfId="7"/>
    <cellStyle name="표준 3 4" xfId="8"/>
    <cellStyle name="표준 3 5" xfId="9"/>
    <cellStyle name="표준 3 6" xfId="10"/>
    <cellStyle name="표준 3 7" xfId="11"/>
    <cellStyle name="표준 3 8" xfId="12"/>
    <cellStyle name="표준 3 9" xfId="13"/>
    <cellStyle name="표준 4" xfId="14"/>
    <cellStyle name="표준 8" xfId="15"/>
    <cellStyle name="표준 5" xfId="16"/>
    <cellStyle name="표준 6" xfId="17"/>
    <cellStyle name="표준 7" xfId="18"/>
    <cellStyle name="표준 3 10" xfId="19"/>
    <cellStyle name="표준 3 11" xfId="20"/>
    <cellStyle name="표준 3 12" xfId="21"/>
    <cellStyle name="표준 3 13" xfId="22"/>
    <cellStyle name="표준 3 14" xfId="23"/>
    <cellStyle name="표준 3 15" xfId="24"/>
    <cellStyle name="표준 3 16" xfId="25"/>
    <cellStyle name="표준 3 17" xfId="26"/>
    <cellStyle name="표준 3 18" xfId="27"/>
    <cellStyle name="표준 3 19" xfId="28"/>
    <cellStyle name="표준 3 20" xfId="29"/>
    <cellStyle name="표준 3 21" xfId="30"/>
    <cellStyle name="표준 3 22" xfId="31"/>
    <cellStyle name="표준 3 23" xfId="32"/>
    <cellStyle name="표준 3 24" xfId="33"/>
    <cellStyle name="표준 3 25" xfId="34"/>
    <cellStyle name="표준 3 26" xfId="35"/>
    <cellStyle name="표준 3 27" xfId="36"/>
    <cellStyle name="표준 3 28" xfId="37"/>
    <cellStyle name="표준 3 29" xfId="38"/>
    <cellStyle name="표준 3 30" xfId="39"/>
    <cellStyle name="표준 3 31" xfId="40"/>
    <cellStyle name="표준 3 32" xfId="41"/>
    <cellStyle name="표준 3 33" xfId="42"/>
    <cellStyle name="표준 3 34" xfId="43"/>
    <cellStyle name="표준 3 35" xfId="44"/>
    <cellStyle name="표준 3 36" xfId="45"/>
    <cellStyle name="표준 3 37" xfId="46"/>
    <cellStyle name="표준 3 38" xfId="47"/>
    <cellStyle name="표준 3 39" xfId="48"/>
    <cellStyle name="표준 3 40" xfId="49"/>
    <cellStyle name="표준 3 41" xfId="50"/>
    <cellStyle name="표준 3 42" xfId="51"/>
    <cellStyle name="표준 33" xfId="52"/>
    <cellStyle name="_x000a_386grabber=M" xfId="53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4"/>
    <cellStyle name="??&amp;O?&amp;H?_x0008__x000f__x0007_?_x0007__x0001__x0001_" xfId="55"/>
    <cellStyle name="??&amp;O?&amp;H?_x0008_??_x0007__x0001__x0001_" xfId="56"/>
    <cellStyle name="??_??? " xfId="57"/>
    <cellStyle name="?W?_laroux" xfId="58"/>
    <cellStyle name="?際_x000c_2'_x000d_+U_x0001_)_x0005_L_x0012__x0007__x0001__x0001_" xfId="59"/>
    <cellStyle name="?핺_CASH FLOW " xfId="60"/>
    <cellStyle name="]_^[꺞_x0008_?" xfId="61"/>
    <cellStyle name="_0104" xfId="62"/>
    <cellStyle name="_0518" xfId="63"/>
    <cellStyle name="_annual" xfId="64"/>
    <cellStyle name="_Book2" xfId="65"/>
    <cellStyle name="_Book4" xfId="66"/>
    <cellStyle name="_Capex&amp;depreciation" xfId="67"/>
    <cellStyle name="_capital" xfId="68"/>
    <cellStyle name="_DMC-2.xls Chart 1" xfId="69"/>
    <cellStyle name="_DMC-2.xls Chart 1_annual" xfId="70"/>
    <cellStyle name="_DMC-2.xls Chart 1_Capex&amp;depreciation" xfId="71"/>
    <cellStyle name="_DMC-2.xls Chart 1_capital" xfId="72"/>
    <cellStyle name="_DMC-2.xls Chart 1_regional sales volume 1" xfId="73"/>
    <cellStyle name="_DMC-2.xls Chart 1_regional sales volume 2" xfId="74"/>
    <cellStyle name="_eco0804_MRE" xfId="75"/>
    <cellStyle name="_foxz" xfId="76"/>
    <cellStyle name="_leadsheet(스파클)" xfId="77"/>
    <cellStyle name="_PLDT" xfId="78"/>
    <cellStyle name="_PLDT_annual" xfId="79"/>
    <cellStyle name="_PLDT_Capex&amp;depreciation" xfId="80"/>
    <cellStyle name="_PLDT_capital" xfId="81"/>
    <cellStyle name="_PLDT_regional sales volume 1" xfId="82"/>
    <cellStyle name="_PLDT_regional sales volume 2" xfId="83"/>
    <cellStyle name="_regional sales volume 1" xfId="84"/>
    <cellStyle name="_regional sales volume 2" xfId="85"/>
    <cellStyle name="_tax" xfId="86"/>
    <cellStyle name="_tax_annual" xfId="87"/>
    <cellStyle name="_tax_Capex&amp;depreciation" xfId="88"/>
    <cellStyle name="_tax_capital" xfId="89"/>
    <cellStyle name="_tax_regional sales volume 1" xfId="90"/>
    <cellStyle name="_tax_regional sales volume 2" xfId="91"/>
    <cellStyle name="_영업외손익 LS" xfId="92"/>
    <cellStyle name="_조직도" xfId="93"/>
    <cellStyle name="_조직도_annual" xfId="94"/>
    <cellStyle name="_조직도_Capex&amp;depreciation" xfId="95"/>
    <cellStyle name="_조직도_capital" xfId="96"/>
    <cellStyle name="_조직도_regional sales volume 1" xfId="97"/>
    <cellStyle name="_조직도_regional sales volume 2" xfId="98"/>
    <cellStyle name="_판관,제조경비" xfId="99"/>
    <cellStyle name="_판관비 LS" xfId="100"/>
    <cellStyle name="’E‰Y [0.00]_laroux" xfId="101"/>
    <cellStyle name="’E‰Y_laroux" xfId="102"/>
    <cellStyle name="AeE­ [0]_PERSONAL" xfId="103"/>
    <cellStyle name="AeE­_PERSONAL" xfId="104"/>
    <cellStyle name="Aggregate" xfId="105"/>
    <cellStyle name="ALIGNMENT" xfId="106"/>
    <cellStyle name="Analyst Name" xfId="107"/>
    <cellStyle name="_x0001_b" xfId="108"/>
    <cellStyle name="Body_BoldText" xfId="109"/>
    <cellStyle name="C￥AØ_PERSONAL" xfId="110"/>
    <cellStyle name="Ç¥ÁØ_Yukong" xfId="111"/>
    <cellStyle name="category" xfId="112"/>
    <cellStyle name="Chart Box" xfId="113"/>
    <cellStyle name="Comma [0]" xfId="114"/>
    <cellStyle name="comma zerodec" xfId="115"/>
    <cellStyle name="Comma_ SG&amp;A Bridge " xfId="116"/>
    <cellStyle name="Comma1 - Style1" xfId="117"/>
    <cellStyle name="Company Name" xfId="118"/>
    <cellStyle name="Currency [0]" xfId="119"/>
    <cellStyle name="Currency_ SG&amp;A Bridge " xfId="120"/>
    <cellStyle name="Currency1" xfId="121"/>
    <cellStyle name="Date" xfId="122"/>
    <cellStyle name="Dezimal [0]_Company sheet (2)" xfId="123"/>
    <cellStyle name="Dezimal_Company sheet (2)" xfId="124"/>
    <cellStyle name="Dollar (zero dec)" xfId="125"/>
    <cellStyle name="Euro" xfId="126"/>
    <cellStyle name="Grey" xfId="127"/>
    <cellStyle name="HEADER" xfId="128"/>
    <cellStyle name="Header1" xfId="129"/>
    <cellStyle name="Header2" xfId="130"/>
    <cellStyle name="Heading 2" xfId="131"/>
    <cellStyle name="Heading 3" xfId="132"/>
    <cellStyle name="Hedaings" xfId="133"/>
    <cellStyle name="hin Young Unc." xfId="134"/>
    <cellStyle name="Hyperlink_NEGS" xfId="135"/>
    <cellStyle name="Input [yellow]" xfId="136"/>
    <cellStyle name="Link" xfId="137"/>
    <cellStyle name="Model" xfId="138"/>
    <cellStyle name="Normal - Style1" xfId="139"/>
    <cellStyle name="Normal_ SG&amp;A Bridge " xfId="140"/>
    <cellStyle name="Notes" xfId="141"/>
    <cellStyle name="Œ…?æ맖?e [0.00]_laroux" xfId="142"/>
    <cellStyle name="Œ…?æ맖?e_laroux" xfId="143"/>
    <cellStyle name="Percent [2]" xfId="144"/>
    <cellStyle name="Price" xfId="145"/>
    <cellStyle name="Ratios" xfId="146"/>
    <cellStyle name="Recommendation" xfId="147"/>
    <cellStyle name="Report Title" xfId="148"/>
    <cellStyle name="RevList" xfId="149"/>
    <cellStyle name="Source/note" xfId="150"/>
    <cellStyle name="Stock_Symbols" xfId="151"/>
    <cellStyle name="subhead" xfId="152"/>
    <cellStyle name="SubTitle" xfId="153"/>
    <cellStyle name="Subtotal" xfId="154"/>
    <cellStyle name="Table Head" xfId="155"/>
    <cellStyle name="Table Head Aligned" xfId="156"/>
    <cellStyle name="Table headers" xfId="157"/>
    <cellStyle name="Table text" xfId="158"/>
    <cellStyle name="Table title" xfId="159"/>
    <cellStyle name="Table Units" xfId="160"/>
    <cellStyle name="Title Box" xfId="161"/>
    <cellStyle name="Title Chart" xfId="162"/>
    <cellStyle name="Title: 2 Lines" xfId="163"/>
    <cellStyle name="verdana" xfId="164"/>
    <cellStyle name="ZZ_Date_d-mmm-yy" xfId="165"/>
    <cellStyle name="咬訌裝?report-2 " xfId="166"/>
    <cellStyle name="굴림" xfId="167"/>
    <cellStyle name="금액" xfId="168"/>
    <cellStyle name="뒤에 오는 하이퍼링크" xfId="169"/>
    <cellStyle name="똿뗦먛귟 [0.00]_PRODUCT DETAIL Q1" xfId="170"/>
    <cellStyle name="똿뗦먛귟_PRODUCT DETAIL Q1" xfId="171"/>
    <cellStyle name="믅됞 [0.00]_PRODUCT DETAIL Q1" xfId="172"/>
    <cellStyle name="믅됞_PRODUCT DETAIL Q1" xfId="173"/>
    <cellStyle name="백분율 10" xfId="174"/>
    <cellStyle name="백분율 11" xfId="175"/>
    <cellStyle name="백분율 12" xfId="176"/>
    <cellStyle name="백분율 13" xfId="177"/>
    <cellStyle name="백분율 14" xfId="178"/>
    <cellStyle name="백분율 15" xfId="179"/>
    <cellStyle name="백분율 16" xfId="180"/>
    <cellStyle name="백분율 17" xfId="181"/>
    <cellStyle name="백분율 18" xfId="182"/>
    <cellStyle name="백분율 19" xfId="183"/>
    <cellStyle name="백분율 2" xfId="184"/>
    <cellStyle name="백분율 20" xfId="185"/>
    <cellStyle name="백분율 21" xfId="186"/>
    <cellStyle name="백분율 22" xfId="187"/>
    <cellStyle name="백분율 23" xfId="188"/>
    <cellStyle name="백분율 24" xfId="189"/>
    <cellStyle name="백분율 25" xfId="190"/>
    <cellStyle name="백분율 26" xfId="191"/>
    <cellStyle name="백분율 27" xfId="192"/>
    <cellStyle name="백분율 28" xfId="193"/>
    <cellStyle name="백분율 29" xfId="194"/>
    <cellStyle name="백분율 3" xfId="195"/>
    <cellStyle name="백분율 4" xfId="196"/>
    <cellStyle name="백분율 5" xfId="197"/>
    <cellStyle name="백분율 6" xfId="198"/>
    <cellStyle name="백분율 7" xfId="199"/>
    <cellStyle name="백분율 8" xfId="200"/>
    <cellStyle name="백분율 9" xfId="201"/>
    <cellStyle name="뷭?_BOOKSHIP" xfId="202"/>
    <cellStyle name="새귑[0]_롤痰삠悧 " xfId="203"/>
    <cellStyle name="새귑_롤痰삠悧 " xfId="204"/>
    <cellStyle name="쉼표 [0] 32" xfId="205"/>
    <cellStyle name="쉼표 [0] 10" xfId="206"/>
    <cellStyle name="쉼표 [0] 11" xfId="207"/>
    <cellStyle name="쉼표 [0] 12" xfId="208"/>
    <cellStyle name="쉼표 [0] 13" xfId="209"/>
    <cellStyle name="쉼표 [0] 14" xfId="210"/>
    <cellStyle name="쉼표 [0] 15" xfId="211"/>
    <cellStyle name="쉼표 [0] 16" xfId="212"/>
    <cellStyle name="쉼표 [0] 17" xfId="213"/>
    <cellStyle name="쉼표 [0] 18" xfId="214"/>
    <cellStyle name="쉼표 [0] 19" xfId="215"/>
    <cellStyle name="쉼표 [0] 2" xfId="216"/>
    <cellStyle name="쉼표 [0] 20" xfId="217"/>
    <cellStyle name="쉼표 [0] 21" xfId="218"/>
    <cellStyle name="쉼표 [0] 22" xfId="219"/>
    <cellStyle name="쉼표 [0] 23" xfId="220"/>
    <cellStyle name="쉼표 [0] 24" xfId="221"/>
    <cellStyle name="쉼표 [0] 25" xfId="222"/>
    <cellStyle name="쉼표 [0] 26" xfId="223"/>
    <cellStyle name="쉼표 [0] 27" xfId="224"/>
    <cellStyle name="쉼표 [0] 28" xfId="225"/>
    <cellStyle name="쉼표 [0] 29" xfId="226"/>
    <cellStyle name="쉼표 [0] 3" xfId="227"/>
    <cellStyle name="쉼표 [0] 30" xfId="228"/>
    <cellStyle name="쉼표 [0] 31" xfId="229"/>
    <cellStyle name="쉼표 [0] 4" xfId="230"/>
    <cellStyle name="쉼표 [0] 5" xfId="231"/>
    <cellStyle name="쉼표 [0] 6" xfId="232"/>
    <cellStyle name="쉼표 [0] 7" xfId="233"/>
    <cellStyle name="쉼표 [0] 8" xfId="234"/>
    <cellStyle name="쉼표 [0] 9" xfId="235"/>
    <cellStyle name="스타일 1" xfId="236"/>
    <cellStyle name="지정되지 않음" xfId="237"/>
    <cellStyle name="콤마 [0]" xfId="238"/>
    <cellStyle name="콤마_  종  합  " xfId="239"/>
    <cellStyle name="표준 10" xfId="240"/>
    <cellStyle name="표준 11" xfId="241"/>
    <cellStyle name="표준 12" xfId="242"/>
    <cellStyle name="표준 13" xfId="243"/>
    <cellStyle name="표준 14" xfId="244"/>
    <cellStyle name="표준 15" xfId="245"/>
    <cellStyle name="표준 16" xfId="246"/>
    <cellStyle name="표준 17" xfId="247"/>
    <cellStyle name="표준 18" xfId="248"/>
    <cellStyle name="표준 19" xfId="249"/>
    <cellStyle name="표준 2 3" xfId="250"/>
    <cellStyle name="표준 2 2" xfId="251"/>
    <cellStyle name="표준 20" xfId="252"/>
    <cellStyle name="표준 21" xfId="253"/>
    <cellStyle name="표준 22" xfId="254"/>
    <cellStyle name="표준 23" xfId="255"/>
    <cellStyle name="표준 24" xfId="256"/>
    <cellStyle name="표준 25" xfId="257"/>
    <cellStyle name="표준 26" xfId="258"/>
    <cellStyle name="표준 27" xfId="259"/>
    <cellStyle name="표준 28" xfId="260"/>
    <cellStyle name="표준 29" xfId="261"/>
    <cellStyle name="표준 3 31 2" xfId="262"/>
    <cellStyle name="표준 3 10 4" xfId="263"/>
    <cellStyle name="표준 3 10 2" xfId="264"/>
    <cellStyle name="표준 3 10 3" xfId="265"/>
    <cellStyle name="표준 3 11 3" xfId="266"/>
    <cellStyle name="표준 3 11 2" xfId="267"/>
    <cellStyle name="표준 3 12 3" xfId="268"/>
    <cellStyle name="표준 3 12 2" xfId="269"/>
    <cellStyle name="표준 3 13 3" xfId="270"/>
    <cellStyle name="표준 3 13 2" xfId="271"/>
    <cellStyle name="표준 3 14 3" xfId="272"/>
    <cellStyle name="표준 3 14 2" xfId="273"/>
    <cellStyle name="표준 3 15 3" xfId="274"/>
    <cellStyle name="표준 3 15 2" xfId="275"/>
    <cellStyle name="표준 3 16 3" xfId="276"/>
    <cellStyle name="표준 3 16 2" xfId="277"/>
    <cellStyle name="표준 3 17 3" xfId="278"/>
    <cellStyle name="표준 3 17 2" xfId="279"/>
    <cellStyle name="표준 3 18 3" xfId="280"/>
    <cellStyle name="표준 3 18 2" xfId="281"/>
    <cellStyle name="표준 3 19 3" xfId="282"/>
    <cellStyle name="표준 3 19 2" xfId="283"/>
    <cellStyle name="표준 3 2 5" xfId="284"/>
    <cellStyle name="표준 3 2 2" xfId="285"/>
    <cellStyle name="표준 3 2 3" xfId="286"/>
    <cellStyle name="표준 3 2 4" xfId="287"/>
    <cellStyle name="표준 3 20 2" xfId="288"/>
    <cellStyle name="표준 3 21 2" xfId="289"/>
    <cellStyle name="표준 3 22 2" xfId="290"/>
    <cellStyle name="표준 3 23 2" xfId="291"/>
    <cellStyle name="표준 3 24 2" xfId="292"/>
    <cellStyle name="표준 3 25 2" xfId="293"/>
    <cellStyle name="표준 3 26 2" xfId="294"/>
    <cellStyle name="표준 3 27 2" xfId="295"/>
    <cellStyle name="표준 3 28 2" xfId="296"/>
    <cellStyle name="표준 3 29 2" xfId="297"/>
    <cellStyle name="표준 3 3 5" xfId="298"/>
    <cellStyle name="표준 3 3 2" xfId="299"/>
    <cellStyle name="표준 3 3 3" xfId="300"/>
    <cellStyle name="표준 3 3 4" xfId="301"/>
    <cellStyle name="표준 3 30 2" xfId="302"/>
    <cellStyle name="표준 3 4 5" xfId="303"/>
    <cellStyle name="표준 3 4 2" xfId="304"/>
    <cellStyle name="표준 3 4 3" xfId="305"/>
    <cellStyle name="표준 3 4 4" xfId="306"/>
    <cellStyle name="표준 3 5 5" xfId="307"/>
    <cellStyle name="표준 3 5 2" xfId="308"/>
    <cellStyle name="표준 3 5 3" xfId="309"/>
    <cellStyle name="표준 3 5 4" xfId="310"/>
    <cellStyle name="표준 3 6 4" xfId="311"/>
    <cellStyle name="표준 3 6 2" xfId="312"/>
    <cellStyle name="표준 3 6 3" xfId="313"/>
    <cellStyle name="표준 3 7 4" xfId="314"/>
    <cellStyle name="표준 3 7 2" xfId="315"/>
    <cellStyle name="표준 3 7 3" xfId="316"/>
    <cellStyle name="표준 3 8 4" xfId="317"/>
    <cellStyle name="표준 3 8 2" xfId="318"/>
    <cellStyle name="표준 3 8 3" xfId="319"/>
    <cellStyle name="표준 3 9 4" xfId="320"/>
    <cellStyle name="표준 3 9 2" xfId="321"/>
    <cellStyle name="표준 3 9 3" xfId="322"/>
    <cellStyle name="표준 30" xfId="323"/>
    <cellStyle name="표준 31" xfId="324"/>
    <cellStyle name="표준 32" xfId="325"/>
    <cellStyle name="표준 9" xfId="326"/>
    <cellStyle name="標準_Akia(F）-8" xfId="327"/>
    <cellStyle name="황대호" xfId="328"/>
    <cellStyle name="표준 3 43" xfId="329"/>
    <cellStyle name="표준 3 44" xfId="330"/>
    <cellStyle name="쉼표 [0] 33" xfId="331"/>
    <cellStyle name="표준 3 45" xfId="332"/>
    <cellStyle name="표준 3 2 6" xfId="333"/>
    <cellStyle name="표준 3 3 6" xfId="334"/>
    <cellStyle name="표준 3 4 6" xfId="335"/>
    <cellStyle name="표준 3 5 6" xfId="336"/>
    <cellStyle name="표준 3 6 5" xfId="337"/>
    <cellStyle name="표준 3 7 5" xfId="338"/>
    <cellStyle name="표준 3 8 5" xfId="339"/>
    <cellStyle name="표준 3 9 5" xfId="340"/>
    <cellStyle name="표준 3 10 5" xfId="341"/>
    <cellStyle name="표준 3 11 4" xfId="342"/>
    <cellStyle name="표준 3 12 4" xfId="343"/>
    <cellStyle name="표준 3 13 4" xfId="344"/>
    <cellStyle name="표준 3 14 4" xfId="345"/>
    <cellStyle name="표준 3 15 4" xfId="346"/>
    <cellStyle name="표준 3 16 4" xfId="347"/>
    <cellStyle name="표준 3 17 4" xfId="348"/>
    <cellStyle name="표준 3 18 4" xfId="349"/>
    <cellStyle name="표준 3 19 4" xfId="350"/>
    <cellStyle name="표준 3 20 3" xfId="351"/>
    <cellStyle name="표준 3 21 3" xfId="352"/>
    <cellStyle name="표준 3 22 3" xfId="353"/>
    <cellStyle name="표준 3 23 3" xfId="354"/>
    <cellStyle name="표준 3 24 3" xfId="355"/>
    <cellStyle name="표준 3 25 3" xfId="356"/>
    <cellStyle name="표준 3 26 3" xfId="357"/>
    <cellStyle name="표준 3 27 3" xfId="358"/>
    <cellStyle name="표준 3 28 3" xfId="359"/>
    <cellStyle name="표준 3 29 3" xfId="360"/>
    <cellStyle name="표준 3 30 3" xfId="361"/>
    <cellStyle name="표준 3 31 3" xfId="362"/>
    <cellStyle name="표준 3 32 2" xfId="363"/>
    <cellStyle name="표준 3 33 2" xfId="364"/>
    <cellStyle name="표준 3 34 2" xfId="365"/>
    <cellStyle name="표준 3 35 2" xfId="366"/>
    <cellStyle name="표준 3 36 2" xfId="367"/>
    <cellStyle name="표준 3 37 2" xfId="368"/>
    <cellStyle name="표준 3 38 2" xfId="369"/>
    <cellStyle name="표준 3 39 2" xfId="370"/>
    <cellStyle name="표준 3 40 2" xfId="371"/>
    <cellStyle name="표준 3 41 2" xfId="372"/>
    <cellStyle name="표준 3 42 2" xfId="373"/>
    <cellStyle name="쉼표 [0] 32 2" xfId="374"/>
    <cellStyle name="쉼표 [0] 10 2" xfId="375"/>
    <cellStyle name="쉼표 [0] 11 2" xfId="376"/>
    <cellStyle name="쉼표 [0] 12 2" xfId="377"/>
    <cellStyle name="쉼표 [0] 13 2" xfId="378"/>
    <cellStyle name="쉼표 [0] 14 2" xfId="379"/>
    <cellStyle name="쉼표 [0] 15 2" xfId="380"/>
    <cellStyle name="쉼표 [0] 16 2" xfId="381"/>
    <cellStyle name="쉼표 [0] 17 2" xfId="382"/>
    <cellStyle name="쉼표 [0] 18 2" xfId="383"/>
    <cellStyle name="쉼표 [0] 19 2" xfId="384"/>
    <cellStyle name="쉼표 [0] 2 2" xfId="385"/>
    <cellStyle name="쉼표 [0] 20 2" xfId="386"/>
    <cellStyle name="쉼표 [0] 21 2" xfId="387"/>
    <cellStyle name="쉼표 [0] 22 2" xfId="388"/>
    <cellStyle name="쉼표 [0] 23 2" xfId="389"/>
    <cellStyle name="쉼표 [0] 24 2" xfId="390"/>
    <cellStyle name="쉼표 [0] 25 2" xfId="391"/>
    <cellStyle name="쉼표 [0] 26 2" xfId="392"/>
    <cellStyle name="쉼표 [0] 27 2" xfId="393"/>
    <cellStyle name="쉼표 [0] 28 2" xfId="394"/>
    <cellStyle name="쉼표 [0] 29 2" xfId="395"/>
    <cellStyle name="쉼표 [0] 3 2" xfId="396"/>
    <cellStyle name="쉼표 [0] 30 2" xfId="397"/>
    <cellStyle name="쉼표 [0] 31 2" xfId="398"/>
    <cellStyle name="쉼표 [0] 4 2" xfId="399"/>
    <cellStyle name="쉼표 [0] 5 2" xfId="400"/>
    <cellStyle name="쉼표 [0] 6 2" xfId="401"/>
    <cellStyle name="쉼표 [0] 7 2" xfId="402"/>
    <cellStyle name="쉼표 [0] 8 2" xfId="403"/>
    <cellStyle name="쉼표 [0] 9 2" xfId="404"/>
    <cellStyle name="표준 3 43 2" xfId="405"/>
    <cellStyle name="표준 3 44 2" xfId="406"/>
    <cellStyle name="백분율" xfId="407" builtinId="5"/>
    <cellStyle name="표준 35" xfId="408"/>
    <cellStyle name="백분율 31" xfId="409"/>
    <cellStyle name="표준 2 5" xfId="410"/>
    <cellStyle name="표준 34" xfId="411"/>
    <cellStyle name="표준 2 4" xfId="412"/>
    <cellStyle name="쉼표 [0] 34" xfId="413"/>
    <cellStyle name="표준 3 46" xfId="414"/>
    <cellStyle name="표준 3 2 7" xfId="415"/>
    <cellStyle name="표준 3 3 7" xfId="416"/>
    <cellStyle name="표준 3 4 7" xfId="417"/>
    <cellStyle name="표준 3 5 7" xfId="418"/>
    <cellStyle name="표준 3 6 6" xfId="419"/>
    <cellStyle name="표준 3 7 6" xfId="420"/>
    <cellStyle name="표준 3 8 6" xfId="421"/>
    <cellStyle name="표준 3 9 6" xfId="422"/>
    <cellStyle name="표준 3 10 6" xfId="423"/>
    <cellStyle name="표준 3 11 5" xfId="424"/>
    <cellStyle name="표준 3 12 5" xfId="425"/>
    <cellStyle name="표준 3 13 5" xfId="426"/>
    <cellStyle name="표준 3 14 5" xfId="427"/>
    <cellStyle name="표준 3 15 5" xfId="428"/>
    <cellStyle name="표준 3 16 5" xfId="429"/>
    <cellStyle name="표준 3 17 5" xfId="430"/>
    <cellStyle name="표준 3 18 5" xfId="431"/>
    <cellStyle name="표준 3 19 5" xfId="432"/>
    <cellStyle name="표준 3 20 4" xfId="433"/>
    <cellStyle name="표준 3 21 4" xfId="434"/>
    <cellStyle name="표준 3 22 4" xfId="435"/>
    <cellStyle name="표준 3 23 4" xfId="436"/>
    <cellStyle name="표준 3 24 4" xfId="437"/>
    <cellStyle name="표준 3 25 4" xfId="438"/>
    <cellStyle name="표준 3 26 4" xfId="439"/>
    <cellStyle name="표준 3 27 4" xfId="440"/>
    <cellStyle name="표준 3 28 4" xfId="441"/>
    <cellStyle name="표준 3 29 4" xfId="442"/>
    <cellStyle name="표준 3 30 4" xfId="443"/>
    <cellStyle name="표준 3 31 4" xfId="444"/>
    <cellStyle name="표준 3 32 3" xfId="445"/>
    <cellStyle name="표준 3 33 3" xfId="446"/>
    <cellStyle name="표준 3 34 3" xfId="447"/>
    <cellStyle name="표준 3 35 3" xfId="448"/>
    <cellStyle name="표준 3 36 3" xfId="449"/>
    <cellStyle name="표준 3 37 3" xfId="450"/>
    <cellStyle name="표준 3 38 3" xfId="451"/>
    <cellStyle name="표준 3 39 3" xfId="452"/>
    <cellStyle name="표준 3 40 3" xfId="453"/>
    <cellStyle name="표준 3 41 3" xfId="454"/>
    <cellStyle name="표준 3 42 3" xfId="455"/>
    <cellStyle name="쉼표 [0] 32 3" xfId="456"/>
    <cellStyle name="쉼표 [0] 10 3" xfId="457"/>
    <cellStyle name="쉼표 [0] 11 3" xfId="458"/>
    <cellStyle name="쉼표 [0] 12 3" xfId="459"/>
    <cellStyle name="쉼표 [0] 13 3" xfId="460"/>
    <cellStyle name="쉼표 [0] 14 3" xfId="461"/>
    <cellStyle name="쉼표 [0] 15 3" xfId="462"/>
    <cellStyle name="쉼표 [0] 16 3" xfId="463"/>
    <cellStyle name="쉼표 [0] 17 3" xfId="464"/>
    <cellStyle name="쉼표 [0] 18 3" xfId="465"/>
    <cellStyle name="쉼표 [0] 19 3" xfId="466"/>
    <cellStyle name="쉼표 [0] 2 3" xfId="467"/>
    <cellStyle name="쉼표 [0] 20 3" xfId="468"/>
    <cellStyle name="쉼표 [0] 21 3" xfId="469"/>
    <cellStyle name="쉼표 [0] 22 3" xfId="470"/>
    <cellStyle name="쉼표 [0] 23 3" xfId="471"/>
    <cellStyle name="쉼표 [0] 24 3" xfId="472"/>
    <cellStyle name="쉼표 [0] 25 3" xfId="473"/>
    <cellStyle name="쉼표 [0] 26 3" xfId="474"/>
    <cellStyle name="쉼표 [0] 27 3" xfId="475"/>
    <cellStyle name="쉼표 [0] 28 3" xfId="476"/>
    <cellStyle name="쉼표 [0] 29 3" xfId="477"/>
    <cellStyle name="쉼표 [0] 3 3" xfId="478"/>
    <cellStyle name="쉼표 [0] 30 3" xfId="479"/>
    <cellStyle name="쉼표 [0] 31 3" xfId="480"/>
    <cellStyle name="쉼표 [0] 4 3" xfId="481"/>
    <cellStyle name="쉼표 [0] 5 3" xfId="482"/>
    <cellStyle name="쉼표 [0] 6 3" xfId="483"/>
    <cellStyle name="쉼표 [0] 7 3" xfId="484"/>
    <cellStyle name="쉼표 [0] 8 3" xfId="485"/>
    <cellStyle name="쉼표 [0] 9 3" xfId="486"/>
    <cellStyle name="표준 3 43 3" xfId="487"/>
    <cellStyle name="표준 3 44 3" xfId="488"/>
    <cellStyle name="쉼표 [0] 33 2" xfId="489"/>
    <cellStyle name="표준 3 45 2" xfId="490"/>
    <cellStyle name="표준 3 2 6 2" xfId="491"/>
    <cellStyle name="표준 3 3 6 2" xfId="492"/>
    <cellStyle name="표준 3 4 6 2" xfId="493"/>
    <cellStyle name="표준 3 5 6 2" xfId="494"/>
    <cellStyle name="표준 3 6 5 2" xfId="495"/>
    <cellStyle name="표준 3 7 5 2" xfId="496"/>
    <cellStyle name="표준 3 8 5 2" xfId="497"/>
    <cellStyle name="표준 3 9 5 2" xfId="498"/>
    <cellStyle name="표준 3 10 5 2" xfId="499"/>
    <cellStyle name="표준 3 11 4 2" xfId="500"/>
    <cellStyle name="표준 3 12 4 2" xfId="501"/>
    <cellStyle name="표준 3 13 4 2" xfId="502"/>
    <cellStyle name="표준 3 14 4 2" xfId="503"/>
    <cellStyle name="표준 3 15 4 2" xfId="504"/>
    <cellStyle name="표준 3 16 4 2" xfId="505"/>
    <cellStyle name="표준 3 17 4 2" xfId="506"/>
    <cellStyle name="표준 3 18 4 2" xfId="507"/>
    <cellStyle name="표준 3 19 4 2" xfId="508"/>
    <cellStyle name="표준 3 20 3 2" xfId="509"/>
    <cellStyle name="표준 3 21 3 2" xfId="510"/>
    <cellStyle name="표준 3 22 3 2" xfId="511"/>
    <cellStyle name="표준 3 23 3 2" xfId="512"/>
    <cellStyle name="표준 3 24 3 2" xfId="513"/>
    <cellStyle name="표준 3 25 3 2" xfId="514"/>
    <cellStyle name="표준 3 26 3 2" xfId="515"/>
    <cellStyle name="표준 3 27 3 2" xfId="516"/>
    <cellStyle name="표준 3 28 3 2" xfId="517"/>
    <cellStyle name="표준 3 29 3 2" xfId="518"/>
    <cellStyle name="표준 3 30 3 2" xfId="519"/>
    <cellStyle name="표준 3 31 3 2" xfId="520"/>
    <cellStyle name="표준 3 32 2 2" xfId="521"/>
    <cellStyle name="표준 3 33 2 2" xfId="522"/>
    <cellStyle name="표준 3 34 2 2" xfId="523"/>
    <cellStyle name="표준 3 35 2 2" xfId="524"/>
    <cellStyle name="표준 3 36 2 2" xfId="525"/>
    <cellStyle name="표준 3 37 2 2" xfId="526"/>
    <cellStyle name="표준 3 38 2 2" xfId="527"/>
    <cellStyle name="표준 3 39 2 2" xfId="528"/>
    <cellStyle name="표준 3 40 2 2" xfId="529"/>
    <cellStyle name="표준 3 41 2 2" xfId="530"/>
    <cellStyle name="표준 3 42 2 2" xfId="531"/>
    <cellStyle name="쉼표 [0] 32 2 2" xfId="532"/>
    <cellStyle name="쉼표 [0] 10 2 2" xfId="533"/>
    <cellStyle name="쉼표 [0] 11 2 2" xfId="534"/>
    <cellStyle name="쉼표 [0] 12 2 2" xfId="535"/>
    <cellStyle name="쉼표 [0] 13 2 2" xfId="536"/>
    <cellStyle name="쉼표 [0] 14 2 2" xfId="537"/>
    <cellStyle name="쉼표 [0] 15 2 2" xfId="538"/>
    <cellStyle name="쉼표 [0] 16 2 2" xfId="539"/>
    <cellStyle name="쉼표 [0] 17 2 2" xfId="540"/>
    <cellStyle name="쉼표 [0] 18 2 2" xfId="541"/>
    <cellStyle name="쉼표 [0] 19 2 2" xfId="542"/>
    <cellStyle name="쉼표 [0] 2 2 2" xfId="543"/>
    <cellStyle name="쉼표 [0] 20 2 2" xfId="544"/>
    <cellStyle name="쉼표 [0] 21 2 2" xfId="545"/>
    <cellStyle name="쉼표 [0] 22 2 2" xfId="546"/>
    <cellStyle name="쉼표 [0] 23 2 2" xfId="547"/>
    <cellStyle name="쉼표 [0] 24 2 2" xfId="548"/>
    <cellStyle name="쉼표 [0] 25 2 2" xfId="549"/>
    <cellStyle name="쉼표 [0] 26 2 2" xfId="550"/>
    <cellStyle name="쉼표 [0] 27 2 2" xfId="551"/>
    <cellStyle name="쉼표 [0] 28 2 2" xfId="552"/>
    <cellStyle name="쉼표 [0] 29 2 2" xfId="553"/>
    <cellStyle name="쉼표 [0] 3 2 2" xfId="554"/>
    <cellStyle name="쉼표 [0] 30 2 2" xfId="555"/>
    <cellStyle name="쉼표 [0] 31 2 2" xfId="556"/>
    <cellStyle name="쉼표 [0] 4 2 2" xfId="557"/>
    <cellStyle name="쉼표 [0] 5 2 2" xfId="558"/>
    <cellStyle name="쉼표 [0] 6 2 2" xfId="559"/>
    <cellStyle name="쉼표 [0] 7 2 2" xfId="560"/>
    <cellStyle name="쉼표 [0] 8 2 2" xfId="561"/>
    <cellStyle name="쉼표 [0] 9 2 2" xfId="562"/>
    <cellStyle name="표준 3 43 2 2" xfId="563"/>
    <cellStyle name="표준 3 44 2 2" xfId="564"/>
    <cellStyle name="백분율 30" xfId="565"/>
    <cellStyle name="쉼표 [0] 35" xfId="566"/>
    <cellStyle name="쉼표 [0] 32 4" xfId="567"/>
    <cellStyle name="쉼표 [0] 10 4" xfId="568"/>
    <cellStyle name="쉼표 [0] 11 4" xfId="569"/>
    <cellStyle name="쉼표 [0] 12 4" xfId="570"/>
    <cellStyle name="쉼표 [0] 13 4" xfId="571"/>
    <cellStyle name="쉼표 [0] 14 4" xfId="572"/>
    <cellStyle name="쉼표 [0] 15 4" xfId="573"/>
    <cellStyle name="쉼표 [0] 16 4" xfId="574"/>
    <cellStyle name="쉼표 [0] 17 4" xfId="575"/>
    <cellStyle name="쉼표 [0] 18 4" xfId="576"/>
    <cellStyle name="쉼표 [0] 19 4" xfId="577"/>
    <cellStyle name="쉼표 [0] 2 4" xfId="578"/>
    <cellStyle name="쉼표 [0] 20 4" xfId="579"/>
    <cellStyle name="쉼표 [0] 21 4" xfId="580"/>
    <cellStyle name="쉼표 [0] 22 4" xfId="581"/>
    <cellStyle name="쉼표 [0] 23 4" xfId="582"/>
    <cellStyle name="쉼표 [0] 24 4" xfId="583"/>
    <cellStyle name="쉼표 [0] 25 4" xfId="584"/>
    <cellStyle name="쉼표 [0] 26 4" xfId="585"/>
    <cellStyle name="쉼표 [0] 27 4" xfId="586"/>
    <cellStyle name="쉼표 [0] 28 4" xfId="587"/>
    <cellStyle name="쉼표 [0] 29 4" xfId="588"/>
    <cellStyle name="쉼표 [0] 3 4" xfId="589"/>
    <cellStyle name="쉼표 [0] 30 4" xfId="590"/>
    <cellStyle name="쉼표 [0] 31 4" xfId="591"/>
    <cellStyle name="쉼표 [0] 4 4" xfId="592"/>
    <cellStyle name="쉼표 [0] 5 4" xfId="593"/>
    <cellStyle name="쉼표 [0] 6 4" xfId="594"/>
    <cellStyle name="쉼표 [0] 7 4" xfId="595"/>
    <cellStyle name="쉼표 [0] 8 4" xfId="596"/>
    <cellStyle name="쉼표 [0] 9 4" xfId="597"/>
    <cellStyle name="쉼표 [0] 33 3" xfId="598"/>
    <cellStyle name="쉼표 [0] 32 2 3" xfId="599"/>
    <cellStyle name="쉼표 [0] 10 2 3" xfId="600"/>
    <cellStyle name="쉼표 [0] 11 2 3" xfId="601"/>
    <cellStyle name="쉼표 [0] 12 2 3" xfId="602"/>
    <cellStyle name="쉼표 [0] 13 2 3" xfId="603"/>
    <cellStyle name="쉼표 [0] 14 2 3" xfId="604"/>
    <cellStyle name="쉼표 [0] 15 2 3" xfId="605"/>
    <cellStyle name="쉼표 [0] 16 2 3" xfId="606"/>
    <cellStyle name="쉼표 [0] 17 2 3" xfId="607"/>
    <cellStyle name="쉼표 [0] 18 2 3" xfId="608"/>
    <cellStyle name="쉼표 [0] 19 2 3" xfId="609"/>
    <cellStyle name="쉼표 [0] 2 2 3" xfId="610"/>
    <cellStyle name="쉼표 [0] 20 2 3" xfId="611"/>
    <cellStyle name="쉼표 [0] 21 2 3" xfId="612"/>
    <cellStyle name="쉼표 [0] 22 2 3" xfId="613"/>
    <cellStyle name="쉼표 [0] 23 2 3" xfId="614"/>
    <cellStyle name="쉼표 [0] 24 2 3" xfId="615"/>
    <cellStyle name="쉼표 [0] 25 2 3" xfId="616"/>
    <cellStyle name="쉼표 [0] 26 2 3" xfId="617"/>
    <cellStyle name="쉼표 [0] 27 2 3" xfId="618"/>
    <cellStyle name="쉼표 [0] 28 2 3" xfId="619"/>
    <cellStyle name="쉼표 [0] 29 2 3" xfId="620"/>
    <cellStyle name="쉼표 [0] 3 2 3" xfId="621"/>
    <cellStyle name="쉼표 [0] 30 2 3" xfId="622"/>
    <cellStyle name="쉼표 [0] 31 2 3" xfId="623"/>
    <cellStyle name="쉼표 [0] 4 2 3" xfId="624"/>
    <cellStyle name="쉼표 [0] 5 2 3" xfId="625"/>
    <cellStyle name="쉼표 [0] 6 2 3" xfId="626"/>
    <cellStyle name="쉼표 [0] 7 2 3" xfId="627"/>
    <cellStyle name="쉼표 [0] 8 2 3" xfId="628"/>
    <cellStyle name="쉼표 [0] 9 2 3" xfId="629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Value%20&#44033;&#51333;%20&#54028;&#51068;\WRAP_20150709\&#51452;&#47928;\2015&#45380;%208&#50900;%204&#51068;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4"/>
  <sheetViews>
    <sheetView showGridLines="0" tabSelected="1" zoomScale="115" zoomScaleNormal="115" workbookViewId="0">
      <selection activeCell="I16" sqref="I16"/>
    </sheetView>
  </sheetViews>
  <sheetFormatPr baseColWidth="8" defaultColWidth="10.42578125" defaultRowHeight="11.25"/>
  <cols>
    <col width="3.5703125" customWidth="1" style="6" min="1" max="1"/>
    <col width="7.140625" customWidth="1" style="1" min="2" max="2"/>
    <col width="15.5703125" customWidth="1" style="1" min="3" max="3"/>
    <col width="10.42578125" customWidth="1" style="6" min="4" max="4"/>
    <col width="15.42578125" customWidth="1" style="1" min="5" max="5"/>
    <col width="8.140625" customWidth="1" style="1" min="6" max="7"/>
    <col width="13.42578125" customWidth="1" style="1" min="8" max="8"/>
    <col width="127.42578125" bestFit="1" customWidth="1" style="25" min="9" max="9"/>
    <col width="22.42578125" customWidth="1" style="25" min="10" max="10"/>
    <col width="10.42578125" customWidth="1" style="1" min="11" max="16384"/>
  </cols>
  <sheetData>
    <row r="2" ht="18" customHeight="1" s="26">
      <c r="A2" s="1" t="n"/>
      <c r="B2" s="24" t="inlineStr">
        <is>
          <t>NH-라이프 다이내믹밸류 목표전환형 2호 자문 종목 현황</t>
        </is>
      </c>
    </row>
    <row r="3" ht="12" customHeight="1" s="2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4.25" customHeight="1" s="26">
      <c r="A4" s="1" t="n"/>
      <c r="B4" s="30">
        <f>TODAY()</f>
        <v/>
      </c>
      <c r="D4" s="3" t="n"/>
      <c r="E4" s="4" t="n"/>
      <c r="F4" s="4" t="n"/>
      <c r="G4" s="4" t="n"/>
      <c r="H4" s="4" t="n"/>
      <c r="I4" s="1" t="n"/>
    </row>
    <row r="5" ht="21" customHeight="1" s="26">
      <c r="A5" s="1" t="n"/>
      <c r="B5" s="5" t="n"/>
      <c r="C5" s="5" t="n"/>
      <c r="E5" s="4" t="n"/>
      <c r="F5" s="4" t="n"/>
    </row>
    <row r="6" ht="22.5" customHeight="1" s="26">
      <c r="A6" s="1" t="n"/>
      <c r="B6" s="8" t="inlineStr">
        <is>
          <t>순위</t>
        </is>
      </c>
      <c r="C6" s="8" t="inlineStr">
        <is>
          <t>업종</t>
        </is>
      </c>
      <c r="D6" s="8" t="inlineStr">
        <is>
          <t>코드</t>
        </is>
      </c>
      <c r="E6" s="8" t="inlineStr">
        <is>
          <t>종목명</t>
        </is>
      </c>
      <c r="F6" s="9" t="inlineStr">
        <is>
          <t>변경전
비 중</t>
        </is>
      </c>
      <c r="G6" s="9" t="inlineStr">
        <is>
          <t>변경후
비 중</t>
        </is>
      </c>
      <c r="H6" s="9" t="inlineStr">
        <is>
          <t>향후 전망</t>
        </is>
      </c>
      <c r="I6" s="13" t="inlineStr">
        <is>
          <t>추천사유</t>
        </is>
      </c>
      <c r="J6" s="10" t="inlineStr">
        <is>
          <t>비고</t>
        </is>
      </c>
    </row>
    <row r="7" ht="15" customHeight="1" s="26">
      <c r="A7" s="11" t="n"/>
      <c r="B7" s="14" t="n">
        <v>1</v>
      </c>
      <c r="C7" s="14" t="inlineStr">
        <is>
          <t>반도체</t>
        </is>
      </c>
      <c r="D7" s="21" t="inlineStr">
        <is>
          <t>005930</t>
        </is>
      </c>
      <c r="E7" s="15" t="inlineStr">
        <is>
          <t>삼성전자</t>
        </is>
      </c>
      <c r="F7" s="28" t="n">
        <v>0</v>
      </c>
      <c r="G7" s="28" t="n">
        <v>10</v>
      </c>
      <c r="H7" s="17" t="inlineStr">
        <is>
          <t>매수</t>
        </is>
      </c>
      <c r="I7" s="18" t="inlineStr">
        <is>
          <t>메모리 호황 지속, 파업 종료시 주가 상승 기대</t>
        </is>
      </c>
      <c r="J7" s="29" t="n"/>
    </row>
    <row r="8" ht="15" customHeight="1" s="26">
      <c r="A8" s="11" t="n"/>
      <c r="B8" s="14" t="n">
        <v>2</v>
      </c>
      <c r="C8" s="14" t="inlineStr">
        <is>
          <t>반도체</t>
        </is>
      </c>
      <c r="D8" s="21" t="inlineStr">
        <is>
          <t>000660</t>
        </is>
      </c>
      <c r="E8" s="15" t="inlineStr">
        <is>
          <t>SK하이닉스</t>
        </is>
      </c>
      <c r="F8" s="28" t="n">
        <v>0</v>
      </c>
      <c r="G8" s="28" t="n">
        <v>10</v>
      </c>
      <c r="H8" s="17" t="inlineStr">
        <is>
          <t>매수</t>
        </is>
      </c>
      <c r="I8" s="22" t="inlineStr">
        <is>
          <t>미국 증시 ADR 상장 추진 지속 중으로 외국인 관심 증대</t>
        </is>
      </c>
      <c r="J8" s="29" t="n"/>
    </row>
    <row r="9" ht="15" customHeight="1" s="26">
      <c r="A9" s="11" t="n"/>
      <c r="B9" s="14" t="n">
        <v>3</v>
      </c>
      <c r="C9" s="14" t="inlineStr">
        <is>
          <t>에너지</t>
        </is>
      </c>
      <c r="D9" s="21" t="inlineStr">
        <is>
          <t>083650</t>
        </is>
      </c>
      <c r="E9" s="15" t="inlineStr">
        <is>
          <t>비에이치아이</t>
        </is>
      </c>
      <c r="F9" s="28" t="n">
        <v>0</v>
      </c>
      <c r="G9" s="28" t="n">
        <v>3</v>
      </c>
      <c r="H9" s="17" t="inlineStr">
        <is>
          <t>매수</t>
        </is>
      </c>
      <c r="I9" s="18" t="inlineStr">
        <is>
          <t>중동향 HRSG 수출 및 팀코리아의원전 수출에 따른 수주 기대</t>
        </is>
      </c>
      <c r="J9" s="29" t="n"/>
    </row>
    <row r="10" ht="15" customHeight="1" s="26">
      <c r="A10" s="11" t="n"/>
      <c r="B10" s="14" t="n">
        <v>4</v>
      </c>
      <c r="C10" s="14" t="inlineStr">
        <is>
          <t>화장품,의류,완구</t>
        </is>
      </c>
      <c r="D10" s="21" t="inlineStr">
        <is>
          <t>020000</t>
        </is>
      </c>
      <c r="E10" s="15" t="inlineStr">
        <is>
          <t>한섬</t>
        </is>
      </c>
      <c r="F10" s="28" t="n">
        <v>0</v>
      </c>
      <c r="G10" s="28" t="n">
        <v>3</v>
      </c>
      <c r="H10" s="17" t="inlineStr">
        <is>
          <t>매수</t>
        </is>
      </c>
      <c r="I10" s="18" t="inlineStr">
        <is>
          <t>작년까지 재고 처리 완료, 올해부터 실적 턴어라운드, 국내 산업들 호황으로 내수 진작 기대</t>
        </is>
      </c>
      <c r="J10" s="29" t="n"/>
    </row>
    <row r="11" ht="15" customHeight="1" s="26">
      <c r="A11" s="11" t="n"/>
      <c r="B11" s="14" t="n">
        <v>5</v>
      </c>
      <c r="C11" s="14" t="inlineStr">
        <is>
          <t>에너지</t>
        </is>
      </c>
      <c r="D11" s="21" t="inlineStr">
        <is>
          <t>005090</t>
        </is>
      </c>
      <c r="E11" s="15" t="inlineStr">
        <is>
          <t>SGC에너지</t>
        </is>
      </c>
      <c r="F11" s="28" t="n">
        <v>0</v>
      </c>
      <c r="G11" s="28" t="n">
        <v>3</v>
      </c>
      <c r="H11" s="17" t="inlineStr">
        <is>
          <t>매수</t>
        </is>
      </c>
      <c r="I11" s="18" t="inlineStr">
        <is>
          <t>SMP 상승으로 연간으로 호실적 전망, 데이터센터 사업 추진 중으로 멀티플 리레이팅 가능</t>
        </is>
      </c>
      <c r="J11" s="29" t="n"/>
    </row>
    <row r="12" ht="15" customHeight="1" s="26">
      <c r="A12" s="11" t="n"/>
      <c r="B12" s="14" t="n">
        <v>6</v>
      </c>
      <c r="C12" s="14" t="inlineStr">
        <is>
          <t>호텔,레저서비스</t>
        </is>
      </c>
      <c r="D12" s="21" t="inlineStr">
        <is>
          <t>006730</t>
        </is>
      </c>
      <c r="E12" s="15" t="inlineStr">
        <is>
          <t>서부T&amp;D</t>
        </is>
      </c>
      <c r="F12" s="28" t="n">
        <v>0</v>
      </c>
      <c r="G12" s="28" t="n">
        <v>3</v>
      </c>
      <c r="H12" s="17" t="inlineStr">
        <is>
          <t>매수</t>
        </is>
      </c>
      <c r="I12" s="18" t="inlineStr">
        <is>
          <t>서울 호텔 공급 부족 및 중국 인바운드 관광객 수혜 기대</t>
        </is>
      </c>
      <c r="J12" s="29" t="n"/>
    </row>
    <row r="13" ht="15" customHeight="1" s="26">
      <c r="A13" s="11" t="n"/>
      <c r="B13" s="14" t="n">
        <v>7</v>
      </c>
      <c r="C13" s="14" t="inlineStr">
        <is>
          <t>기계</t>
        </is>
      </c>
      <c r="D13" s="21" t="n">
        <v>105840</v>
      </c>
      <c r="E13" s="15" t="inlineStr">
        <is>
          <t>우진</t>
        </is>
      </c>
      <c r="F13" s="28" t="n">
        <v>0</v>
      </c>
      <c r="G13" s="28" t="n">
        <v>2</v>
      </c>
      <c r="H13" s="17" t="inlineStr">
        <is>
          <t>매수</t>
        </is>
      </c>
      <c r="I13" s="18" t="inlineStr">
        <is>
          <t>팀코리아의 원전 수출 및 뉴스케일파워 정상화에 따라 노내핵 계측기 수주 확장 기대</t>
        </is>
      </c>
      <c r="J13" s="29" t="n"/>
    </row>
    <row r="14">
      <c r="B14" s="20" t="n"/>
      <c r="D14" s="1" t="n"/>
      <c r="E14" s="19" t="inlineStr">
        <is>
          <t>Total</t>
        </is>
      </c>
      <c r="F14" s="28">
        <f>+SUM(F7:F13)</f>
        <v/>
      </c>
      <c r="G14" s="28">
        <f>+SUM(G7:G13)</f>
        <v/>
      </c>
      <c r="H14" s="28">
        <f>G14-F14</f>
        <v/>
      </c>
      <c r="I14" s="1" t="n"/>
    </row>
  </sheetData>
  <autoFilter ref="B6:I13">
    <sortState ref="B7:I13">
      <sortCondition descending="1" ref="G6:G13"/>
    </sortState>
  </autoFilter>
  <mergeCells count="2">
    <mergeCell ref="B4:C4"/>
    <mergeCell ref="B2:J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2012-04-18T06:53:12Z</dcterms:created>
  <dcterms:modified xmlns:dcterms="http://purl.org/dc/terms/" xmlns:xsi="http://www.w3.org/2001/XMLSchema-instance" xsi:type="dcterms:W3CDTF">2026-05-08T07:11:09Z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