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H랩_라이프ValueESG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'NH랩_라이프ValueESG'!$B$6:$I$13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_-* #,##0.00_-;\-* #,##0.00_-;_-* &quot;-&quot;_-;_-@_-"/>
    <numFmt numFmtId="166" formatCode="0.0_ "/>
    <numFmt numFmtId="167" formatCode="_(&quot;$&quot;* #,##0.00_);_(&quot;$&quot;* \(#,##0.00\);_(&quot;$&quot;* &quot;-&quot;??_);_(@_)"/>
    <numFmt numFmtId="168" formatCode="#,##0\ &quot;F&quot;;\-#,##0\ &quot;F&quot;"/>
    <numFmt numFmtId="169" formatCode="_ &quot;₩&quot;* #,##0_ ;_ &quot;₩&quot;* \-#,##0_ ;_ &quot;₩&quot;* &quot;-&quot;_ ;_ @_ "/>
    <numFmt numFmtId="170" formatCode="#,##0.00000;[Red]\-#,##0.00000"/>
    <numFmt numFmtId="171" formatCode="&quot;(&quot;#,##0&quot;)&quot;;&quot;(&quot;\-#,##0&quot;)&quot;"/>
    <numFmt numFmtId="172" formatCode="_ * #,##0.000_ ;_ * \-#,##0.000_ ;_ * &quot;-&quot;_ ;_ @_ "/>
    <numFmt numFmtId="173" formatCode="0.0_)"/>
    <numFmt numFmtId="174" formatCode="#,##0.000"/>
    <numFmt numFmtId="175" formatCode="&quot;$&quot;#,##0_);\(&quot;$&quot;#,##0\)"/>
    <numFmt numFmtId="176" formatCode="0.0"/>
    <numFmt numFmtId="177" formatCode="0_%_);\(0\)_%;0_%_);@_%_)"/>
    <numFmt numFmtId="178" formatCode="&quot;₩&quot;#,##0.00;[Red]&quot;₩&quot;\-#,##0.00"/>
    <numFmt numFmtId="179" formatCode="_ * #,##0_ ;_ * \-#,##0_ ;_ * &quot;-&quot;_ ;_ @_ "/>
    <numFmt numFmtId="180" formatCode="yyyy-mm-dd"/>
  </numFmts>
  <fonts count="109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8"/>
    </font>
    <font>
      <name val="돋움"/>
      <charset val="129"/>
      <family val="3"/>
      <color theme="1"/>
      <sz val="9"/>
    </font>
    <font>
      <name val="돋움"/>
      <charset val="129"/>
      <family val="3"/>
      <b val="1"/>
      <color indexed="10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30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7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8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69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7" fontId="56" fillId="0" borderId="0"/>
    <xf numFmtId="170" fontId="56" fillId="0" borderId="0"/>
    <xf numFmtId="14" fontId="70" fillId="0" borderId="0" applyAlignment="1">
      <alignment horizontal="left"/>
    </xf>
    <xf numFmtId="171" fontId="52" fillId="0" borderId="0"/>
    <xf numFmtId="172" fontId="52" fillId="0" borderId="0"/>
    <xf numFmtId="173" fontId="52" fillId="0" borderId="0"/>
    <xf numFmtId="174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5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6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7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8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79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2" applyAlignment="1" pivotButton="0" quotePrefix="0" xfId="0">
      <alignment horizontal="center" vertical="center"/>
    </xf>
    <xf numFmtId="0" fontId="101" fillId="7" borderId="0" applyAlignment="1" pivotButton="0" quotePrefix="0" xfId="0">
      <alignment horizontal="center" vertical="center"/>
    </xf>
    <xf numFmtId="165" fontId="101" fillId="7" borderId="1" applyAlignment="1" pivotButton="0" quotePrefix="0" xfId="4">
      <alignment horizontal="left" vertical="center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6" fontId="103" fillId="7" borderId="1" applyAlignment="1" pivotButton="0" quotePrefix="0" xfId="0">
      <alignment horizontal="center" vertical="center" wrapText="1"/>
    </xf>
    <xf numFmtId="10" fontId="106" fillId="0" borderId="1" applyAlignment="1" pivotButton="0" quotePrefix="0" xfId="407">
      <alignment horizontal="center" vertical="center"/>
    </xf>
    <xf numFmtId="0" fontId="107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101" fillId="7" borderId="1" applyAlignment="1" pivotButton="0" quotePrefix="1" xfId="324">
      <alignment horizontal="center" vertical="center"/>
    </xf>
    <xf numFmtId="0" fontId="107" fillId="0" borderId="15" applyAlignment="1" pivotButton="0" quotePrefix="0" xfId="0">
      <alignment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80" fontId="103" fillId="0" borderId="0" applyAlignment="1" pivotButton="0" quotePrefix="0" xfId="0">
      <alignment horizontal="left" vertical="center"/>
    </xf>
    <xf numFmtId="166" fontId="103" fillId="7" borderId="1" applyAlignment="1" pivotButton="0" quotePrefix="0" xfId="0">
      <alignment horizontal="center" vertical="center" wrapText="1"/>
    </xf>
    <xf numFmtId="165" fontId="101" fillId="7" borderId="1" applyAlignment="1" pivotButton="0" quotePrefix="0" xfId="4">
      <alignment horizontal="left" vertical="center"/>
    </xf>
  </cellXfs>
  <cellStyles count="630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  <cellStyle name="쉼표 [0] 35" xfId="566"/>
    <cellStyle name="쉼표 [0] 32 4" xfId="567"/>
    <cellStyle name="쉼표 [0] 10 4" xfId="568"/>
    <cellStyle name="쉼표 [0] 11 4" xfId="569"/>
    <cellStyle name="쉼표 [0] 12 4" xfId="570"/>
    <cellStyle name="쉼표 [0] 13 4" xfId="571"/>
    <cellStyle name="쉼표 [0] 14 4" xfId="572"/>
    <cellStyle name="쉼표 [0] 15 4" xfId="573"/>
    <cellStyle name="쉼표 [0] 16 4" xfId="574"/>
    <cellStyle name="쉼표 [0] 17 4" xfId="575"/>
    <cellStyle name="쉼표 [0] 18 4" xfId="576"/>
    <cellStyle name="쉼표 [0] 19 4" xfId="577"/>
    <cellStyle name="쉼표 [0] 2 4" xfId="578"/>
    <cellStyle name="쉼표 [0] 20 4" xfId="579"/>
    <cellStyle name="쉼표 [0] 21 4" xfId="580"/>
    <cellStyle name="쉼표 [0] 22 4" xfId="581"/>
    <cellStyle name="쉼표 [0] 23 4" xfId="582"/>
    <cellStyle name="쉼표 [0] 24 4" xfId="583"/>
    <cellStyle name="쉼표 [0] 25 4" xfId="584"/>
    <cellStyle name="쉼표 [0] 26 4" xfId="585"/>
    <cellStyle name="쉼표 [0] 27 4" xfId="586"/>
    <cellStyle name="쉼표 [0] 28 4" xfId="587"/>
    <cellStyle name="쉼표 [0] 29 4" xfId="588"/>
    <cellStyle name="쉼표 [0] 3 4" xfId="589"/>
    <cellStyle name="쉼표 [0] 30 4" xfId="590"/>
    <cellStyle name="쉼표 [0] 31 4" xfId="591"/>
    <cellStyle name="쉼표 [0] 4 4" xfId="592"/>
    <cellStyle name="쉼표 [0] 5 4" xfId="593"/>
    <cellStyle name="쉼표 [0] 6 4" xfId="594"/>
    <cellStyle name="쉼표 [0] 7 4" xfId="595"/>
    <cellStyle name="쉼표 [0] 8 4" xfId="596"/>
    <cellStyle name="쉼표 [0] 9 4" xfId="597"/>
    <cellStyle name="쉼표 [0] 33 3" xfId="598"/>
    <cellStyle name="쉼표 [0] 32 2 3" xfId="599"/>
    <cellStyle name="쉼표 [0] 10 2 3" xfId="600"/>
    <cellStyle name="쉼표 [0] 11 2 3" xfId="601"/>
    <cellStyle name="쉼표 [0] 12 2 3" xfId="602"/>
    <cellStyle name="쉼표 [0] 13 2 3" xfId="603"/>
    <cellStyle name="쉼표 [0] 14 2 3" xfId="604"/>
    <cellStyle name="쉼표 [0] 15 2 3" xfId="605"/>
    <cellStyle name="쉼표 [0] 16 2 3" xfId="606"/>
    <cellStyle name="쉼표 [0] 17 2 3" xfId="607"/>
    <cellStyle name="쉼표 [0] 18 2 3" xfId="608"/>
    <cellStyle name="쉼표 [0] 19 2 3" xfId="609"/>
    <cellStyle name="쉼표 [0] 2 2 3" xfId="610"/>
    <cellStyle name="쉼표 [0] 20 2 3" xfId="611"/>
    <cellStyle name="쉼표 [0] 21 2 3" xfId="612"/>
    <cellStyle name="쉼표 [0] 22 2 3" xfId="613"/>
    <cellStyle name="쉼표 [0] 23 2 3" xfId="614"/>
    <cellStyle name="쉼표 [0] 24 2 3" xfId="615"/>
    <cellStyle name="쉼표 [0] 25 2 3" xfId="616"/>
    <cellStyle name="쉼표 [0] 26 2 3" xfId="617"/>
    <cellStyle name="쉼표 [0] 27 2 3" xfId="618"/>
    <cellStyle name="쉼표 [0] 28 2 3" xfId="619"/>
    <cellStyle name="쉼표 [0] 29 2 3" xfId="620"/>
    <cellStyle name="쉼표 [0] 3 2 3" xfId="621"/>
    <cellStyle name="쉼표 [0] 30 2 3" xfId="622"/>
    <cellStyle name="쉼표 [0] 31 2 3" xfId="623"/>
    <cellStyle name="쉼표 [0] 4 2 3" xfId="624"/>
    <cellStyle name="쉼표 [0] 5 2 3" xfId="625"/>
    <cellStyle name="쉼표 [0] 6 2 3" xfId="626"/>
    <cellStyle name="쉼표 [0] 7 2 3" xfId="627"/>
    <cellStyle name="쉼표 [0] 8 2 3" xfId="628"/>
    <cellStyle name="쉼표 [0] 9 2 3" xfId="629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showGridLines="0" tabSelected="1" zoomScale="115" zoomScaleNormal="115" workbookViewId="0">
      <selection activeCell="I16" sqref="I16"/>
    </sheetView>
  </sheetViews>
  <sheetFormatPr baseColWidth="8" defaultColWidth="10.42578125" defaultRowHeight="11.25"/>
  <cols>
    <col width="3.5703125" customWidth="1" style="6" min="1" max="1"/>
    <col width="7.140625" customWidth="1" style="1" min="2" max="2"/>
    <col width="15.5703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27.42578125" bestFit="1" customWidth="1" style="25" min="9" max="9"/>
    <col width="22.42578125" customWidth="1" style="25" min="10" max="10"/>
    <col width="10.42578125" customWidth="1" style="1" min="11" max="16384"/>
  </cols>
  <sheetData>
    <row r="2" ht="18" customHeight="1" s="26">
      <c r="A2" s="1" t="n"/>
      <c r="B2" s="24" t="inlineStr">
        <is>
          <t>NH-라이프 다이내믹밸류 목표전환형 2호 자문 종목 현황</t>
        </is>
      </c>
    </row>
    <row r="3" ht="12" customHeight="1" s="2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4.25" customHeight="1" s="26">
      <c r="A4" s="1" t="n"/>
      <c r="B4" s="27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6">
      <c r="A5" s="1" t="n"/>
      <c r="B5" s="5" t="n"/>
      <c r="C5" s="5" t="n"/>
      <c r="E5" s="4" t="n"/>
      <c r="F5" s="4" t="n"/>
    </row>
    <row r="6" ht="22.5" customHeight="1" s="26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3" t="inlineStr">
        <is>
          <t>추천사유</t>
        </is>
      </c>
      <c r="J6" s="10" t="inlineStr">
        <is>
          <t>비고</t>
        </is>
      </c>
    </row>
    <row r="7" ht="15" customHeight="1" s="26">
      <c r="A7" s="11" t="n"/>
      <c r="B7" s="14" t="n">
        <v>1</v>
      </c>
      <c r="C7" s="14" t="inlineStr">
        <is>
          <t>반도체</t>
        </is>
      </c>
      <c r="D7" s="21" t="inlineStr">
        <is>
          <t>005930</t>
        </is>
      </c>
      <c r="E7" s="15" t="inlineStr">
        <is>
          <t>삼성전자</t>
        </is>
      </c>
      <c r="F7" s="28" t="n">
        <v>0</v>
      </c>
      <c r="G7" s="28" t="n">
        <v>10</v>
      </c>
      <c r="H7" s="17" t="inlineStr">
        <is>
          <t>매수</t>
        </is>
      </c>
      <c r="I7" s="18" t="inlineStr">
        <is>
          <t>메모리 호황 지속, 파업 종료시 주가 상승 기대</t>
        </is>
      </c>
      <c r="J7" s="29" t="n"/>
    </row>
    <row r="8" ht="15" customHeight="1" s="26">
      <c r="A8" s="11" t="n"/>
      <c r="B8" s="14" t="n">
        <v>2</v>
      </c>
      <c r="C8" s="14" t="inlineStr">
        <is>
          <t>반도체</t>
        </is>
      </c>
      <c r="D8" s="21" t="inlineStr">
        <is>
          <t>000660</t>
        </is>
      </c>
      <c r="E8" s="15" t="inlineStr">
        <is>
          <t>SK하이닉스</t>
        </is>
      </c>
      <c r="F8" s="28" t="n">
        <v>0</v>
      </c>
      <c r="G8" s="28" t="n">
        <v>10</v>
      </c>
      <c r="H8" s="17" t="inlineStr">
        <is>
          <t>매수</t>
        </is>
      </c>
      <c r="I8" s="22" t="inlineStr">
        <is>
          <t>미국 증시 ADR 상장 추진 지속 중으로 외국인 관심 증대</t>
        </is>
      </c>
      <c r="J8" s="29" t="n"/>
    </row>
    <row r="9" ht="15" customHeight="1" s="26">
      <c r="A9" s="11" t="n"/>
      <c r="B9" s="14" t="n">
        <v>3</v>
      </c>
      <c r="C9" s="14" t="inlineStr">
        <is>
          <t>에너지</t>
        </is>
      </c>
      <c r="D9" s="21" t="inlineStr">
        <is>
          <t>083650</t>
        </is>
      </c>
      <c r="E9" s="15" t="inlineStr">
        <is>
          <t>비에이치아이</t>
        </is>
      </c>
      <c r="F9" s="28" t="n">
        <v>0</v>
      </c>
      <c r="G9" s="28" t="n">
        <v>3</v>
      </c>
      <c r="H9" s="17" t="inlineStr">
        <is>
          <t>매수</t>
        </is>
      </c>
      <c r="I9" s="18" t="inlineStr">
        <is>
          <t>중동향 HRSG 수출 및 팀코리아의원전 수출에 따른 수주 기대</t>
        </is>
      </c>
      <c r="J9" s="29" t="n"/>
    </row>
    <row r="10" ht="15" customHeight="1" s="26">
      <c r="A10" s="11" t="n"/>
      <c r="B10" s="14" t="n">
        <v>4</v>
      </c>
      <c r="C10" s="14" t="inlineStr">
        <is>
          <t>화장품,의류,완구</t>
        </is>
      </c>
      <c r="D10" s="21" t="inlineStr">
        <is>
          <t>020000</t>
        </is>
      </c>
      <c r="E10" s="15" t="inlineStr">
        <is>
          <t>한섬</t>
        </is>
      </c>
      <c r="F10" s="28" t="n">
        <v>0</v>
      </c>
      <c r="G10" s="28" t="n">
        <v>3</v>
      </c>
      <c r="H10" s="17" t="inlineStr">
        <is>
          <t>매수</t>
        </is>
      </c>
      <c r="I10" s="18" t="inlineStr">
        <is>
          <t>작년까지 재고 처리 완료, 올해부터 실적 턴어라운드, 국내 산업들 호황으로 내수 진작 기대</t>
        </is>
      </c>
      <c r="J10" s="29" t="n"/>
    </row>
    <row r="11" ht="15" customHeight="1" s="26">
      <c r="A11" s="11" t="n"/>
      <c r="B11" s="14" t="n">
        <v>5</v>
      </c>
      <c r="C11" s="14" t="inlineStr">
        <is>
          <t>에너지</t>
        </is>
      </c>
      <c r="D11" s="21" t="inlineStr">
        <is>
          <t>005090</t>
        </is>
      </c>
      <c r="E11" s="15" t="inlineStr">
        <is>
          <t>SGC에너지</t>
        </is>
      </c>
      <c r="F11" s="28" t="n">
        <v>0</v>
      </c>
      <c r="G11" s="28" t="n">
        <v>3</v>
      </c>
      <c r="H11" s="17" t="inlineStr">
        <is>
          <t>매수</t>
        </is>
      </c>
      <c r="I11" s="18" t="inlineStr">
        <is>
          <t>SMP 상승으로 연간으로 호실적 전망, 데이터센터 사업 추진 중으로 멀티플 리레이팅 가능</t>
        </is>
      </c>
      <c r="J11" s="29" t="n"/>
    </row>
    <row r="12" ht="15" customHeight="1" s="26">
      <c r="A12" s="11" t="n"/>
      <c r="B12" s="14" t="n">
        <v>6</v>
      </c>
      <c r="C12" s="14" t="inlineStr">
        <is>
          <t>호텔,레저서비스</t>
        </is>
      </c>
      <c r="D12" s="21" t="inlineStr">
        <is>
          <t>006730</t>
        </is>
      </c>
      <c r="E12" s="15" t="inlineStr">
        <is>
          <t>서부T&amp;D</t>
        </is>
      </c>
      <c r="F12" s="28" t="n">
        <v>0</v>
      </c>
      <c r="G12" s="28" t="n">
        <v>3</v>
      </c>
      <c r="H12" s="17" t="inlineStr">
        <is>
          <t>매수</t>
        </is>
      </c>
      <c r="I12" s="18" t="inlineStr">
        <is>
          <t>서울 호텔 공급 부족 및 중국 인바운드 관광객 수혜 기대</t>
        </is>
      </c>
      <c r="J12" s="29" t="n"/>
    </row>
    <row r="13" ht="15" customHeight="1" s="26">
      <c r="A13" s="11" t="n"/>
      <c r="B13" s="14" t="n">
        <v>7</v>
      </c>
      <c r="C13" s="14" t="inlineStr">
        <is>
          <t>기계</t>
        </is>
      </c>
      <c r="D13" s="21" t="n">
        <v>105840</v>
      </c>
      <c r="E13" s="15" t="inlineStr">
        <is>
          <t>우진</t>
        </is>
      </c>
      <c r="F13" s="28" t="n">
        <v>0</v>
      </c>
      <c r="G13" s="28" t="n">
        <v>2</v>
      </c>
      <c r="H13" s="17" t="inlineStr">
        <is>
          <t>매수</t>
        </is>
      </c>
      <c r="I13" s="18" t="inlineStr">
        <is>
          <t>팀코리아의 원전 수출 및 뉴스케일파워 정상화에 따라 노내핵 계측기 수주 확장 기대</t>
        </is>
      </c>
      <c r="J13" s="29" t="n"/>
    </row>
    <row r="14">
      <c r="B14" s="20" t="n"/>
      <c r="D14" s="1" t="n"/>
      <c r="E14" s="19" t="inlineStr">
        <is>
          <t>Total</t>
        </is>
      </c>
      <c r="F14" s="28">
        <f>+SUM(F7:F13)</f>
        <v/>
      </c>
      <c r="G14" s="28">
        <f>+SUM(G7:G13)</f>
        <v/>
      </c>
      <c r="H14" s="28">
        <f>G14-F14</f>
        <v/>
      </c>
      <c r="I14" s="1" t="n"/>
    </row>
  </sheetData>
  <autoFilter ref="B6:I13">
    <sortState ref="B7:I13">
      <sortCondition descending="1" ref="G6:G13"/>
    </sortState>
  </autoFilter>
  <mergeCells count="2">
    <mergeCell ref="B4:C4"/>
    <mergeCell ref="B2:J2"/>
  </mergeCells>
  <conditionalFormatting sqref="H7:H13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2026-05-04T01:30:34Z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