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voyageram-my.sharepoint.com/personal/dohyeop_kim_inveski_com/Documents/바탕 화면/업무/주문기 (New)/"/>
    </mc:Choice>
  </mc:AlternateContent>
  <xr:revisionPtr revIDLastSave="40" documentId="13_ncr:1_{226DFDD0-83BD-480E-A532-9C3A55296543}" xr6:coauthVersionLast="47" xr6:coauthVersionMax="47" xr10:uidLastSave="{9098E82E-F763-43C1-97F2-7A28EB55FBBB}"/>
  <bookViews>
    <workbookView xWindow="43095" yWindow="0" windowWidth="14610" windowHeight="15585" xr2:uid="{00000000-000D-0000-FFFF-FFFF00000000}"/>
  </bookViews>
  <sheets>
    <sheet name="NH랩_라이프ValueESG" sheetId="1" r:id="rId1"/>
  </sheets>
  <externalReferences>
    <externalReference r:id="rId2"/>
  </externalReferences>
  <definedNames>
    <definedName name="_xlnm._FilterDatabase" localSheetId="0" hidden="1">NH랩_라이프ValueESG!$B$6:$J$6</definedName>
    <definedName name="data">[1]data!$A$1:$N$1929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G28" i="1"/>
  <c r="F28" i="1"/>
  <c r="B4" i="1" l="1"/>
</calcChain>
</file>

<file path=xl/sharedStrings.xml><?xml version="1.0" encoding="utf-8"?>
<sst xmlns="http://schemas.openxmlformats.org/spreadsheetml/2006/main" count="92" uniqueCount="64">
  <si>
    <t>NH랩 라이프 다이내믹밸류 일반형 랩 자문 종목 현황</t>
    <phoneticPr fontId="47" type="noConversion"/>
  </si>
  <si>
    <t>반도체</t>
  </si>
  <si>
    <t>삼성전자</t>
  </si>
  <si>
    <t>유지</t>
  </si>
  <si>
    <t>SK하이닉스</t>
  </si>
  <si>
    <t>기계</t>
  </si>
  <si>
    <t>두산에너빌리티</t>
  </si>
  <si>
    <t>상사,자본재</t>
  </si>
  <si>
    <t>두산</t>
  </si>
  <si>
    <t>CJ</t>
  </si>
  <si>
    <t>건강관리</t>
  </si>
  <si>
    <t>한미약품</t>
  </si>
  <si>
    <t>조선</t>
  </si>
  <si>
    <t>한화오션</t>
  </si>
  <si>
    <t>건설,건축관련</t>
  </si>
  <si>
    <t>GS건설</t>
  </si>
  <si>
    <t>증권</t>
  </si>
  <si>
    <t>미래에셋증권</t>
  </si>
  <si>
    <t>대한조선</t>
  </si>
  <si>
    <t>IT하드웨어</t>
  </si>
  <si>
    <t>이수페타시스</t>
  </si>
  <si>
    <t>알지노믹스</t>
  </si>
  <si>
    <t>Total</t>
  </si>
  <si>
    <t>순위</t>
  </si>
  <si>
    <t>업종</t>
  </si>
  <si>
    <t>코드</t>
  </si>
  <si>
    <t>종목명</t>
  </si>
  <si>
    <t>변경전
비 중</t>
  </si>
  <si>
    <t>변경후
비 중</t>
  </si>
  <si>
    <t>향후 전망</t>
  </si>
  <si>
    <t>추천사유</t>
  </si>
  <si>
    <t>자동차</t>
  </si>
  <si>
    <t>현대차</t>
  </si>
  <si>
    <t>에너지</t>
  </si>
  <si>
    <t>SGC에너지</t>
  </si>
  <si>
    <t>신규 매수</t>
  </si>
  <si>
    <t>디스플레이</t>
  </si>
  <si>
    <t>선익시스템</t>
  </si>
  <si>
    <t>에이비엘바이오</t>
  </si>
  <si>
    <t>비에이치아이</t>
  </si>
  <si>
    <t>HD건설기계</t>
  </si>
  <si>
    <t>화장품,의류,완구</t>
  </si>
  <si>
    <t>한섬</t>
  </si>
  <si>
    <t>비고</t>
  </si>
  <si>
    <t>083650</t>
  </si>
  <si>
    <t>020000</t>
  </si>
  <si>
    <t>006360</t>
  </si>
  <si>
    <t>082740</t>
  </si>
  <si>
    <t>한화엔진</t>
  </si>
  <si>
    <t xml:space="preserve">1분기 실적 발표 후 엔진 업싸이클 초입 판단, 실적/멀티플 모두 상향될 것으로 예상 </t>
  </si>
  <si>
    <t>005090</t>
  </si>
  <si>
    <t>005380</t>
  </si>
  <si>
    <t>007660</t>
  </si>
  <si>
    <t>005930</t>
  </si>
  <si>
    <t>034020</t>
  </si>
  <si>
    <t>001040</t>
  </si>
  <si>
    <t>000660</t>
  </si>
  <si>
    <t>000150</t>
  </si>
  <si>
    <t>042660</t>
  </si>
  <si>
    <t>006800</t>
  </si>
  <si>
    <t>006730</t>
    <phoneticPr fontId="47" type="noConversion"/>
  </si>
  <si>
    <t>서부T&amp;D</t>
    <phoneticPr fontId="47" type="noConversion"/>
  </si>
  <si>
    <t>서울 호텔 공급 부족 및 중국 인바운드 관광객 수혜 기대</t>
    <phoneticPr fontId="47" type="noConversion"/>
  </si>
  <si>
    <t>호텔레저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</si>
</sst>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0.000_ "/>
    <numFmt numFmtId="177" formatCode="0.0_ "/>
    <numFmt numFmtId="178" formatCode="_-* #,##0.00_-;\-* #,##0.00_-;_-* &quot;-&quot;_-;_-@_-"/>
    <numFmt numFmtId="179" formatCode="&quot;₩&quot;#,##0.00;[Red]&quot;₩&quot;\-#,##0.00"/>
    <numFmt numFmtId="180" formatCode="_ * #,##0_ ;_ * \-#,##0_ ;_ * &quot;-&quot;_ ;_ @_ 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#,##0\ &quot;F&quot;;\-#,##0\ &quot;F&quot;"/>
    <numFmt numFmtId="184" formatCode="_ &quot;₩&quot;* #,##0_ ;_ &quot;₩&quot;* \-#,##0_ ;_ &quot;₩&quot;* &quot;-&quot;_ ;_ @_ "/>
    <numFmt numFmtId="185" formatCode="#,##0.00000;[Red]\-#,##0.00000"/>
    <numFmt numFmtId="186" formatCode="&quot;(&quot;#,##0&quot;)&quot;;&quot;(&quot;\-#,##0&quot;)&quot;"/>
    <numFmt numFmtId="187" formatCode="_ * #,##0.000_ ;_ * \-#,##0.000_ ;_ * &quot;-&quot;_ ;_ @_ "/>
    <numFmt numFmtId="188" formatCode="0.0_)"/>
    <numFmt numFmtId="189" formatCode="#,##0.000"/>
    <numFmt numFmtId="190" formatCode="&quot;$&quot;#,##0_);\(&quot;$&quot;#,##0\)"/>
    <numFmt numFmtId="191" formatCode="0.0"/>
    <numFmt numFmtId="192" formatCode="0_%_);\(0\)_%;0_%_);@_%_)"/>
  </numFmts>
  <fonts count="107">
    <font>
      <sz val="9"/>
      <color theme="1"/>
      <name val="Arial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9"/>
      <name val="Arial"/>
      <family val="2"/>
    </font>
    <font>
      <sz val="9"/>
      <color theme="1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Arial"/>
      <family val="2"/>
      <charset val="129"/>
    </font>
    <font>
      <sz val="11"/>
      <name val="돋움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sz val="12"/>
      <name val="바탕체"/>
      <family val="1"/>
      <charset val="129"/>
    </font>
    <font>
      <sz val="11"/>
      <name val="??"/>
      <family val="3"/>
    </font>
    <font>
      <sz val="10"/>
      <name val="Courier"/>
      <family val="3"/>
    </font>
    <font>
      <sz val="11"/>
      <name val="돋?o"/>
      <family val="3"/>
      <charset val="129"/>
    </font>
    <font>
      <sz val="10"/>
      <name val="Helv"/>
      <family val="2"/>
    </font>
    <font>
      <sz val="10"/>
      <name val="PragmaticaCTT"/>
      <family val="1"/>
    </font>
    <font>
      <sz val="9"/>
      <name val="굴림"/>
      <family val="3"/>
      <charset val="129"/>
    </font>
    <font>
      <u/>
      <sz val="7.5"/>
      <color indexed="36"/>
      <name val="Arial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4"/>
      <name val="바탕체"/>
      <family val="1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b/>
      <sz val="10"/>
      <name val="Times New Roman"/>
      <family val="1"/>
    </font>
    <font>
      <sz val="12"/>
      <name val="¹ÙÅÁÃ¼"/>
      <family val="1"/>
      <charset val="129"/>
    </font>
    <font>
      <b/>
      <sz val="10"/>
      <name val="Helv"/>
      <family val="2"/>
    </font>
    <font>
      <b/>
      <sz val="7"/>
      <name val="Arial"/>
      <family val="2"/>
    </font>
    <font>
      <b/>
      <sz val="24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2"/>
      <color indexed="9"/>
      <name val="Geneva"/>
      <family val="2"/>
    </font>
    <font>
      <sz val="10"/>
      <name val="Tms Rmn"/>
      <family val="1"/>
    </font>
    <font>
      <u/>
      <sz val="10"/>
      <color indexed="12"/>
      <name val="MS Sans Serif"/>
      <family val="2"/>
    </font>
    <font>
      <sz val="10"/>
      <color indexed="9"/>
      <name val="Arial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i/>
      <sz val="10"/>
      <name val="Helv"/>
      <family val="2"/>
    </font>
    <font>
      <sz val="10"/>
      <name val="Arial Black"/>
      <family val="2"/>
    </font>
    <font>
      <b/>
      <sz val="14"/>
      <name val="Arial Black"/>
      <family val="2"/>
    </font>
    <font>
      <sz val="8"/>
      <name val="Helv"/>
      <family val="2"/>
    </font>
    <font>
      <i/>
      <sz val="7"/>
      <name val="Arial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b/>
      <sz val="9"/>
      <name val="Palatino"/>
      <family val="1"/>
    </font>
    <font>
      <sz val="7"/>
      <name val="Arial"/>
      <family val="2"/>
    </font>
    <font>
      <b/>
      <sz val="8"/>
      <name val="Arial"/>
      <family val="2"/>
    </font>
    <font>
      <sz val="7"/>
      <name val="Palatino"/>
      <family val="1"/>
    </font>
    <font>
      <sz val="9"/>
      <name val="Arial Black"/>
      <family val="2"/>
    </font>
    <font>
      <sz val="9"/>
      <color indexed="63"/>
      <name val="Arial Black"/>
      <family val="2"/>
    </font>
    <font>
      <sz val="9"/>
      <name val="Verdana"/>
      <family val="2"/>
    </font>
    <font>
      <b/>
      <sz val="8"/>
      <color indexed="12"/>
      <name val="Times New Roman"/>
      <family val="1"/>
    </font>
    <font>
      <sz val="11"/>
      <color theme="1"/>
      <name val="맑은 고딕"/>
      <family val="2"/>
      <scheme val="minor"/>
    </font>
    <font>
      <sz val="9"/>
      <name val="돋움"/>
      <family val="3"/>
      <charset val="129"/>
    </font>
    <font>
      <b/>
      <u/>
      <sz val="11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9"/>
      <name val="돋움"/>
      <family val="3"/>
      <charset val="129"/>
    </font>
    <font>
      <sz val="9"/>
      <color indexed="8"/>
      <name val="돋움"/>
      <family val="3"/>
      <charset val="129"/>
    </font>
    <font>
      <sz val="9"/>
      <color theme="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630">
    <xf numFmtId="0" fontId="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2" fillId="0" borderId="0">
      <alignment vertical="center"/>
    </xf>
    <xf numFmtId="0" fontId="55" fillId="0" borderId="0" applyNumberFormat="0" applyFill="0" applyBorder="0" applyAlignment="0" applyProtection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>
      <alignment vertical="center"/>
    </xf>
    <xf numFmtId="0" fontId="60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56" fillId="0" borderId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182" fontId="56" fillId="0" borderId="0" applyFont="0" applyFill="0" applyBorder="0" applyAlignment="0" applyProtection="0"/>
    <xf numFmtId="39" fontId="68" fillId="0" borderId="0">
      <alignment horizontal="right" vertical="center"/>
    </xf>
    <xf numFmtId="0" fontId="69" fillId="0" borderId="0"/>
    <xf numFmtId="0" fontId="70" fillId="0" borderId="0">
      <alignment horizontal="right"/>
    </xf>
    <xf numFmtId="183" fontId="57" fillId="0" borderId="0" applyFont="0" applyFill="0" applyBorder="0" applyAlignment="0" applyProtection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NumberFormat="0" applyFont="0" applyAlignment="0">
      <alignment vertical="center"/>
      <protection locked="0"/>
    </xf>
    <xf numFmtId="0" fontId="47" fillId="0" borderId="0" applyFont="0" applyFill="0" applyBorder="0" applyAlignment="0" applyProtection="0"/>
    <xf numFmtId="184" fontId="52" fillId="0" borderId="0"/>
    <xf numFmtId="0" fontId="56" fillId="0" borderId="0" applyFont="0" applyFill="0" applyBorder="0" applyAlignment="0" applyProtection="0"/>
    <xf numFmtId="0" fontId="61" fillId="0" borderId="0"/>
    <xf numFmtId="4" fontId="75" fillId="0" borderId="0">
      <alignment vertical="center"/>
    </xf>
    <xf numFmtId="0" fontId="47" fillId="0" borderId="0" applyFont="0" applyFill="0" applyBorder="0" applyAlignment="0" applyProtection="0"/>
    <xf numFmtId="182" fontId="56" fillId="0" borderId="0" applyFont="0" applyFill="0" applyBorder="0" applyAlignment="0" applyProtection="0"/>
    <xf numFmtId="185" fontId="56" fillId="0" borderId="0"/>
    <xf numFmtId="14" fontId="70" fillId="0" borderId="0">
      <alignment horizontal="left"/>
    </xf>
    <xf numFmtId="186" fontId="52" fillId="0" borderId="0" applyFont="0" applyFill="0" applyBorder="0" applyAlignment="0" applyProtection="0"/>
    <xf numFmtId="187" fontId="52" fillId="0" borderId="0" applyFont="0" applyFill="0" applyBorder="0" applyAlignment="0" applyProtection="0"/>
    <xf numFmtId="188" fontId="52" fillId="0" borderId="0"/>
    <xf numFmtId="189" fontId="52" fillId="0" borderId="0" applyFont="0" applyFill="0" applyBorder="0" applyAlignment="0" applyProtection="0"/>
    <xf numFmtId="38" fontId="76" fillId="2" borderId="0" applyNumberFormat="0" applyBorder="0" applyAlignment="0" applyProtection="0"/>
    <xf numFmtId="0" fontId="77" fillId="0" borderId="0">
      <alignment horizontal="left"/>
    </xf>
    <xf numFmtId="0" fontId="78" fillId="0" borderId="5" applyNumberFormat="0" applyAlignment="0" applyProtection="0">
      <alignment horizontal="left" vertical="center"/>
    </xf>
    <xf numFmtId="0" fontId="78" fillId="0" borderId="6">
      <alignment horizontal="left" vertical="center"/>
    </xf>
    <xf numFmtId="0" fontId="78" fillId="0" borderId="0"/>
    <xf numFmtId="0" fontId="54" fillId="0" borderId="0"/>
    <xf numFmtId="0" fontId="79" fillId="3" borderId="0" applyFont="0" applyAlignment="0">
      <alignment horizontal="left"/>
    </xf>
    <xf numFmtId="0" fontId="80" fillId="0" borderId="0"/>
    <xf numFmtId="0" fontId="81" fillId="0" borderId="0" applyNumberFormat="0" applyFill="0" applyBorder="0" applyAlignment="0" applyProtection="0"/>
    <xf numFmtId="10" fontId="76" fillId="2" borderId="1" applyNumberFormat="0" applyBorder="0" applyAlignment="0" applyProtection="0"/>
    <xf numFmtId="10" fontId="82" fillId="4" borderId="7" applyNumberFormat="0"/>
    <xf numFmtId="0" fontId="83" fillId="0" borderId="4"/>
    <xf numFmtId="190" fontId="84" fillId="0" borderId="0"/>
    <xf numFmtId="0" fontId="56" fillId="0" borderId="0"/>
    <xf numFmtId="0" fontId="85" fillId="0" borderId="8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0" fontId="56" fillId="0" borderId="0" applyFont="0" applyFill="0" applyBorder="0" applyAlignment="0" applyProtection="0"/>
    <xf numFmtId="0" fontId="86" fillId="0" borderId="0">
      <alignment horizontal="right"/>
    </xf>
    <xf numFmtId="191" fontId="56" fillId="0" borderId="0">
      <alignment horizontal="right" vertical="center"/>
    </xf>
    <xf numFmtId="0" fontId="87" fillId="0" borderId="3">
      <alignment horizontal="right" vertical="center"/>
    </xf>
    <xf numFmtId="0" fontId="48" fillId="0" borderId="0">
      <alignment horizontal="right"/>
    </xf>
    <xf numFmtId="14" fontId="88" fillId="0" borderId="0" applyNumberFormat="0" applyFill="0" applyBorder="0" applyAlignment="0" applyProtection="0">
      <alignment horizontal="left"/>
    </xf>
    <xf numFmtId="0" fontId="89" fillId="0" borderId="0" applyNumberFormat="0" applyFill="0" applyBorder="0" applyProtection="0">
      <protection locked="0"/>
    </xf>
    <xf numFmtId="0" fontId="76" fillId="0" borderId="9">
      <alignment horizontal="right" vertical="center" wrapText="1"/>
    </xf>
    <xf numFmtId="0" fontId="83" fillId="0" borderId="0"/>
    <xf numFmtId="0" fontId="90" fillId="0" borderId="6">
      <alignment vertical="center"/>
    </xf>
    <xf numFmtId="40" fontId="91" fillId="0" borderId="0" applyBorder="0">
      <alignment horizontal="right"/>
    </xf>
    <xf numFmtId="0" fontId="92" fillId="0" borderId="0" applyBorder="0" applyProtection="0">
      <alignment vertical="center"/>
    </xf>
    <xf numFmtId="192" fontId="92" fillId="0" borderId="9" applyBorder="0" applyProtection="0">
      <alignment horizontal="right" vertical="center"/>
    </xf>
    <xf numFmtId="0" fontId="93" fillId="0" borderId="9" applyNumberFormat="0" applyFill="0" applyProtection="0">
      <alignment horizontal="right"/>
      <protection locked="0"/>
    </xf>
    <xf numFmtId="0" fontId="93" fillId="0" borderId="0" applyNumberFormat="0" applyFill="0" applyBorder="0" applyAlignment="0" applyProtection="0">
      <protection locked="0"/>
    </xf>
    <xf numFmtId="0" fontId="94" fillId="0" borderId="10" applyNumberFormat="0" applyFill="0" applyBorder="0" applyAlignment="0" applyProtection="0">
      <protection locked="0"/>
    </xf>
    <xf numFmtId="0" fontId="95" fillId="0" borderId="11" applyFill="0" applyBorder="0" applyProtection="0">
      <alignment horizontal="left" vertical="top"/>
    </xf>
    <xf numFmtId="0" fontId="96" fillId="0" borderId="9">
      <alignment horizontal="left"/>
    </xf>
    <xf numFmtId="0" fontId="97" fillId="5" borderId="0" applyFont="0">
      <alignment vertical="center"/>
    </xf>
    <xf numFmtId="0" fontId="96" fillId="0" borderId="6"/>
    <xf numFmtId="0" fontId="98" fillId="2" borderId="0" applyNumberFormat="0" applyBorder="0" applyAlignment="0"/>
    <xf numFmtId="0" fontId="99" fillId="6" borderId="1" applyFont="0" applyFill="0" applyBorder="0" applyAlignment="0" applyProtection="0">
      <alignment horizontal="center"/>
      <protection locked="0"/>
    </xf>
    <xf numFmtId="0" fontId="62" fillId="0" borderId="0"/>
    <xf numFmtId="0" fontId="63" fillId="0" borderId="0" applyNumberFormat="0" applyFill="0" applyBorder="0" applyAlignment="0"/>
    <xf numFmtId="179" fontId="56" fillId="0" borderId="1">
      <alignment horizontal="right" vertical="center" shrinkToFit="1"/>
    </xf>
    <xf numFmtId="0" fontId="64" fillId="0" borderId="0" applyNumberFormat="0" applyFill="0" applyBorder="0" applyAlignment="0" applyProtection="0">
      <alignment vertical="top"/>
      <protection locked="0"/>
    </xf>
    <xf numFmtId="40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3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0" fontId="66" fillId="0" borderId="0"/>
    <xf numFmtId="0" fontId="52" fillId="0" borderId="0" applyFont="0" applyFill="0" applyBorder="0" applyAlignment="0" applyProtection="0"/>
    <xf numFmtId="0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6" fillId="0" borderId="0"/>
    <xf numFmtId="0" fontId="57" fillId="0" borderId="0"/>
    <xf numFmtId="180" fontId="52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67" fillId="0" borderId="12">
      <alignment horizontal="left"/>
    </xf>
    <xf numFmtId="0" fontId="4" fillId="0" borderId="0">
      <alignment vertical="center"/>
    </xf>
    <xf numFmtId="0" fontId="3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0" fillId="0" borderId="0"/>
    <xf numFmtId="0" fontId="51" fillId="0" borderId="0">
      <alignment vertical="center"/>
    </xf>
    <xf numFmtId="0" fontId="48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01" fillId="0" borderId="0" xfId="0" applyFont="1">
      <alignment vertical="center"/>
    </xf>
    <xf numFmtId="0" fontId="103" fillId="0" borderId="0" xfId="0" applyFont="1" applyAlignment="1">
      <alignment horizontal="center" vertical="center"/>
    </xf>
    <xf numFmtId="0" fontId="104" fillId="0" borderId="0" xfId="0" applyFont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03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176" fontId="103" fillId="0" borderId="0" xfId="0" applyNumberFormat="1" applyFont="1">
      <alignment vertical="center"/>
    </xf>
    <xf numFmtId="0" fontId="103" fillId="0" borderId="1" xfId="0" applyFont="1" applyBorder="1" applyAlignment="1">
      <alignment horizontal="center" vertical="center"/>
    </xf>
    <xf numFmtId="0" fontId="103" fillId="0" borderId="1" xfId="0" applyFont="1" applyBorder="1" applyAlignment="1">
      <alignment horizontal="center" vertical="center" wrapText="1"/>
    </xf>
    <xf numFmtId="0" fontId="101" fillId="7" borderId="0" xfId="0" applyFont="1" applyFill="1" applyAlignment="1">
      <alignment horizontal="center" vertical="center"/>
    </xf>
    <xf numFmtId="178" fontId="101" fillId="7" borderId="1" xfId="4" applyNumberFormat="1" applyFont="1" applyFill="1" applyBorder="1" applyAlignment="1">
      <alignment horizontal="left" vertical="center"/>
    </xf>
    <xf numFmtId="0" fontId="103" fillId="0" borderId="14" xfId="0" applyFont="1" applyBorder="1" applyAlignment="1">
      <alignment horizontal="center" vertical="center"/>
    </xf>
    <xf numFmtId="0" fontId="101" fillId="7" borderId="1" xfId="0" applyFont="1" applyFill="1" applyBorder="1" applyAlignment="1">
      <alignment horizontal="center" vertical="center"/>
    </xf>
    <xf numFmtId="0" fontId="101" fillId="7" borderId="1" xfId="324" applyFont="1" applyFill="1" applyBorder="1" applyAlignment="1">
      <alignment horizontal="center" vertical="center"/>
    </xf>
    <xf numFmtId="177" fontId="103" fillId="7" borderId="1" xfId="0" applyNumberFormat="1" applyFont="1" applyFill="1" applyBorder="1" applyAlignment="1">
      <alignment horizontal="center" vertical="center" wrapText="1"/>
    </xf>
    <xf numFmtId="0" fontId="106" fillId="0" borderId="13" xfId="0" applyFont="1" applyBorder="1">
      <alignment vertical="center"/>
    </xf>
    <xf numFmtId="0" fontId="103" fillId="7" borderId="1" xfId="324" applyFont="1" applyFill="1" applyBorder="1" applyAlignment="1">
      <alignment horizontal="center" vertical="center"/>
    </xf>
    <xf numFmtId="0" fontId="101" fillId="7" borderId="1" xfId="324" quotePrefix="1" applyFont="1" applyFill="1" applyBorder="1" applyAlignment="1">
      <alignment horizontal="center" vertical="center"/>
    </xf>
    <xf numFmtId="0" fontId="106" fillId="0" borderId="15" xfId="0" applyFont="1" applyBorder="1">
      <alignment vertical="center"/>
    </xf>
    <xf numFmtId="178" fontId="103" fillId="0" borderId="2" xfId="4" applyNumberFormat="1" applyFont="1" applyFill="1" applyBorder="1" applyAlignment="1">
      <alignment horizontal="center" vertical="center"/>
    </xf>
    <xf numFmtId="31" fontId="103" fillId="0" borderId="0" xfId="0" applyNumberFormat="1" applyFont="1" applyAlignment="1">
      <alignment horizontal="left" vertical="center"/>
    </xf>
    <xf numFmtId="0" fontId="102" fillId="0" borderId="0" xfId="0" applyFont="1" applyAlignment="1">
      <alignment horizontal="center" vertical="center"/>
    </xf>
    <xf numFmtId="10" fontId="106" fillId="0" borderId="1" xfId="407" applyNumberFormat="1" applyFont="1" applyBorder="1" applyAlignment="1">
      <alignment horizontal="center" vertical="center"/>
    </xf>
  </cellXfs>
  <cellStyles count="630">
    <cellStyle name="_x000a_386grabber=M" xfId="53" xr:uid="{00000000-0005-0000-0000-000000000000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4" xr:uid="{00000000-0005-0000-0000-000001000000}"/>
    <cellStyle name="??&amp;O?&amp;H?_x0008__x000f__x0007_?_x0007__x0001__x0001_" xfId="55" xr:uid="{00000000-0005-0000-0000-000002000000}"/>
    <cellStyle name="??&amp;O?&amp;H?_x0008_??_x0007__x0001__x0001_" xfId="56" xr:uid="{00000000-0005-0000-0000-000003000000}"/>
    <cellStyle name="??_??? " xfId="57" xr:uid="{00000000-0005-0000-0000-000004000000}"/>
    <cellStyle name="?W?_laroux" xfId="58" xr:uid="{00000000-0005-0000-0000-000005000000}"/>
    <cellStyle name="?際_x000c_2'_x000d_+U_x0001_)_x0005_L_x0012__x0007__x0001__x0001_" xfId="59" xr:uid="{00000000-0005-0000-0000-000006000000}"/>
    <cellStyle name="?핺_CASH FLOW " xfId="60" xr:uid="{00000000-0005-0000-0000-000007000000}"/>
    <cellStyle name="]_^[꺞_x0008_?" xfId="61" xr:uid="{00000000-0005-0000-0000-000008000000}"/>
    <cellStyle name="_0104" xfId="62" xr:uid="{00000000-0005-0000-0000-000009000000}"/>
    <cellStyle name="_0518" xfId="63" xr:uid="{00000000-0005-0000-0000-00000A000000}"/>
    <cellStyle name="_annual" xfId="64" xr:uid="{00000000-0005-0000-0000-00000B000000}"/>
    <cellStyle name="_Book2" xfId="65" xr:uid="{00000000-0005-0000-0000-00000C000000}"/>
    <cellStyle name="_Book4" xfId="66" xr:uid="{00000000-0005-0000-0000-00000D000000}"/>
    <cellStyle name="_Capex&amp;depreciation" xfId="67" xr:uid="{00000000-0005-0000-0000-00000E000000}"/>
    <cellStyle name="_capital" xfId="68" xr:uid="{00000000-0005-0000-0000-00000F000000}"/>
    <cellStyle name="_DMC-2.xls Chart 1" xfId="69" xr:uid="{00000000-0005-0000-0000-000010000000}"/>
    <cellStyle name="_DMC-2.xls Chart 1_annual" xfId="70" xr:uid="{00000000-0005-0000-0000-000011000000}"/>
    <cellStyle name="_DMC-2.xls Chart 1_Capex&amp;depreciation" xfId="71" xr:uid="{00000000-0005-0000-0000-000012000000}"/>
    <cellStyle name="_DMC-2.xls Chart 1_capital" xfId="72" xr:uid="{00000000-0005-0000-0000-000013000000}"/>
    <cellStyle name="_DMC-2.xls Chart 1_regional sales volume 1" xfId="73" xr:uid="{00000000-0005-0000-0000-000014000000}"/>
    <cellStyle name="_DMC-2.xls Chart 1_regional sales volume 2" xfId="74" xr:uid="{00000000-0005-0000-0000-000015000000}"/>
    <cellStyle name="_eco0804_MRE" xfId="75" xr:uid="{00000000-0005-0000-0000-000016000000}"/>
    <cellStyle name="_foxz" xfId="76" xr:uid="{00000000-0005-0000-0000-000017000000}"/>
    <cellStyle name="_leadsheet(스파클)" xfId="77" xr:uid="{00000000-0005-0000-0000-000018000000}"/>
    <cellStyle name="_PLDT" xfId="78" xr:uid="{00000000-0005-0000-0000-000019000000}"/>
    <cellStyle name="_PLDT_annual" xfId="79" xr:uid="{00000000-0005-0000-0000-00001A000000}"/>
    <cellStyle name="_PLDT_Capex&amp;depreciation" xfId="80" xr:uid="{00000000-0005-0000-0000-00001B000000}"/>
    <cellStyle name="_PLDT_capital" xfId="81" xr:uid="{00000000-0005-0000-0000-00001C000000}"/>
    <cellStyle name="_PLDT_regional sales volume 1" xfId="82" xr:uid="{00000000-0005-0000-0000-00001D000000}"/>
    <cellStyle name="_PLDT_regional sales volume 2" xfId="83" xr:uid="{00000000-0005-0000-0000-00001E000000}"/>
    <cellStyle name="_regional sales volume 1" xfId="84" xr:uid="{00000000-0005-0000-0000-00001F000000}"/>
    <cellStyle name="_regional sales volume 2" xfId="85" xr:uid="{00000000-0005-0000-0000-000020000000}"/>
    <cellStyle name="_tax" xfId="86" xr:uid="{00000000-0005-0000-0000-000021000000}"/>
    <cellStyle name="_tax_annual" xfId="87" xr:uid="{00000000-0005-0000-0000-000022000000}"/>
    <cellStyle name="_tax_Capex&amp;depreciation" xfId="88" xr:uid="{00000000-0005-0000-0000-000023000000}"/>
    <cellStyle name="_tax_capital" xfId="89" xr:uid="{00000000-0005-0000-0000-000024000000}"/>
    <cellStyle name="_tax_regional sales volume 1" xfId="90" xr:uid="{00000000-0005-0000-0000-000025000000}"/>
    <cellStyle name="_tax_regional sales volume 2" xfId="91" xr:uid="{00000000-0005-0000-0000-000026000000}"/>
    <cellStyle name="_영업외손익 LS" xfId="92" xr:uid="{00000000-0005-0000-0000-000027000000}"/>
    <cellStyle name="_조직도" xfId="93" xr:uid="{00000000-0005-0000-0000-000028000000}"/>
    <cellStyle name="_조직도_annual" xfId="94" xr:uid="{00000000-0005-0000-0000-000029000000}"/>
    <cellStyle name="_조직도_Capex&amp;depreciation" xfId="95" xr:uid="{00000000-0005-0000-0000-00002A000000}"/>
    <cellStyle name="_조직도_capital" xfId="96" xr:uid="{00000000-0005-0000-0000-00002B000000}"/>
    <cellStyle name="_조직도_regional sales volume 1" xfId="97" xr:uid="{00000000-0005-0000-0000-00002C000000}"/>
    <cellStyle name="_조직도_regional sales volume 2" xfId="98" xr:uid="{00000000-0005-0000-0000-00002D000000}"/>
    <cellStyle name="_판관,제조경비" xfId="99" xr:uid="{00000000-0005-0000-0000-00002E000000}"/>
    <cellStyle name="_판관비 LS" xfId="100" xr:uid="{00000000-0005-0000-0000-00002F000000}"/>
    <cellStyle name="’E‰Y [0.00]_laroux" xfId="101" xr:uid="{00000000-0005-0000-0000-000030000000}"/>
    <cellStyle name="’E‰Y_laroux" xfId="102" xr:uid="{00000000-0005-0000-0000-000031000000}"/>
    <cellStyle name="AeE­ [0]_PERSONAL" xfId="103" xr:uid="{00000000-0005-0000-0000-000032000000}"/>
    <cellStyle name="AeE­_PERSONAL" xfId="104" xr:uid="{00000000-0005-0000-0000-000033000000}"/>
    <cellStyle name="Aggregate" xfId="105" xr:uid="{00000000-0005-0000-0000-000034000000}"/>
    <cellStyle name="ALIGNMENT" xfId="106" xr:uid="{00000000-0005-0000-0000-000035000000}"/>
    <cellStyle name="Analyst Name" xfId="107" xr:uid="{00000000-0005-0000-0000-000036000000}"/>
    <cellStyle name="_x0001_b" xfId="108" xr:uid="{00000000-0005-0000-0000-000037000000}"/>
    <cellStyle name="Body_BoldText" xfId="109" xr:uid="{00000000-0005-0000-0000-000038000000}"/>
    <cellStyle name="C￥AØ_PERSONAL" xfId="110" xr:uid="{00000000-0005-0000-0000-000039000000}"/>
    <cellStyle name="Ç¥ÁØ_Yukong" xfId="111" xr:uid="{00000000-0005-0000-0000-00003A000000}"/>
    <cellStyle name="category" xfId="112" xr:uid="{00000000-0005-0000-0000-00003B000000}"/>
    <cellStyle name="Chart Box" xfId="113" xr:uid="{00000000-0005-0000-0000-00003C000000}"/>
    <cellStyle name="Comma [0]" xfId="114" xr:uid="{00000000-0005-0000-0000-00003D000000}"/>
    <cellStyle name="comma zerodec" xfId="115" xr:uid="{00000000-0005-0000-0000-00003E000000}"/>
    <cellStyle name="Comma_ SG&amp;A Bridge " xfId="116" xr:uid="{00000000-0005-0000-0000-00003F000000}"/>
    <cellStyle name="Comma1 - Style1" xfId="117" xr:uid="{00000000-0005-0000-0000-000040000000}"/>
    <cellStyle name="Company Name" xfId="118" xr:uid="{00000000-0005-0000-0000-000041000000}"/>
    <cellStyle name="Currency [0]" xfId="119" xr:uid="{00000000-0005-0000-0000-000042000000}"/>
    <cellStyle name="Currency_ SG&amp;A Bridge " xfId="120" xr:uid="{00000000-0005-0000-0000-000043000000}"/>
    <cellStyle name="Currency1" xfId="121" xr:uid="{00000000-0005-0000-0000-000044000000}"/>
    <cellStyle name="Date" xfId="122" xr:uid="{00000000-0005-0000-0000-000045000000}"/>
    <cellStyle name="Dezimal [0]_Company sheet (2)" xfId="123" xr:uid="{00000000-0005-0000-0000-000046000000}"/>
    <cellStyle name="Dezimal_Company sheet (2)" xfId="124" xr:uid="{00000000-0005-0000-0000-000047000000}"/>
    <cellStyle name="Dollar (zero dec)" xfId="125" xr:uid="{00000000-0005-0000-0000-000048000000}"/>
    <cellStyle name="Euro" xfId="126" xr:uid="{00000000-0005-0000-0000-000049000000}"/>
    <cellStyle name="Grey" xfId="127" xr:uid="{00000000-0005-0000-0000-00004A000000}"/>
    <cellStyle name="HEADER" xfId="128" xr:uid="{00000000-0005-0000-0000-00004B000000}"/>
    <cellStyle name="Header1" xfId="129" xr:uid="{00000000-0005-0000-0000-00004C000000}"/>
    <cellStyle name="Header2" xfId="130" xr:uid="{00000000-0005-0000-0000-00004D000000}"/>
    <cellStyle name="Heading 2" xfId="131" xr:uid="{00000000-0005-0000-0000-00004E000000}"/>
    <cellStyle name="Heading 3" xfId="132" xr:uid="{00000000-0005-0000-0000-00004F000000}"/>
    <cellStyle name="Hedaings" xfId="133" xr:uid="{00000000-0005-0000-0000-000050000000}"/>
    <cellStyle name="hin Young Unc." xfId="134" xr:uid="{00000000-0005-0000-0000-000051000000}"/>
    <cellStyle name="Hyperlink_NEGS" xfId="135" xr:uid="{00000000-0005-0000-0000-000052000000}"/>
    <cellStyle name="Input [yellow]" xfId="136" xr:uid="{00000000-0005-0000-0000-000053000000}"/>
    <cellStyle name="Link" xfId="137" xr:uid="{00000000-0005-0000-0000-000054000000}"/>
    <cellStyle name="Model" xfId="138" xr:uid="{00000000-0005-0000-0000-000055000000}"/>
    <cellStyle name="Normal - Style1" xfId="139" xr:uid="{00000000-0005-0000-0000-000056000000}"/>
    <cellStyle name="Normal 2 3" xfId="3" xr:uid="{00000000-0005-0000-0000-000057000000}"/>
    <cellStyle name="Normal 3" xfId="1" xr:uid="{00000000-0005-0000-0000-000058000000}"/>
    <cellStyle name="Normal_ SG&amp;A Bridge " xfId="140" xr:uid="{00000000-0005-0000-0000-000059000000}"/>
    <cellStyle name="Notes" xfId="141" xr:uid="{00000000-0005-0000-0000-00005A000000}"/>
    <cellStyle name="Œ…?æ맖?e [0.00]_laroux" xfId="142" xr:uid="{00000000-0005-0000-0000-00005B000000}"/>
    <cellStyle name="Œ…?æ맖?e_laroux" xfId="143" xr:uid="{00000000-0005-0000-0000-00005C000000}"/>
    <cellStyle name="Percent [2]" xfId="144" xr:uid="{00000000-0005-0000-0000-00005D000000}"/>
    <cellStyle name="Price" xfId="145" xr:uid="{00000000-0005-0000-0000-00005E000000}"/>
    <cellStyle name="Ratios" xfId="146" xr:uid="{00000000-0005-0000-0000-00005F000000}"/>
    <cellStyle name="Recommendation" xfId="147" xr:uid="{00000000-0005-0000-0000-000060000000}"/>
    <cellStyle name="Report Title" xfId="148" xr:uid="{00000000-0005-0000-0000-000061000000}"/>
    <cellStyle name="RevList" xfId="149" xr:uid="{00000000-0005-0000-0000-000062000000}"/>
    <cellStyle name="Source/note" xfId="150" xr:uid="{00000000-0005-0000-0000-000063000000}"/>
    <cellStyle name="Stock_Symbols" xfId="151" xr:uid="{00000000-0005-0000-0000-000064000000}"/>
    <cellStyle name="subhead" xfId="152" xr:uid="{00000000-0005-0000-0000-000065000000}"/>
    <cellStyle name="SubTitle" xfId="153" xr:uid="{00000000-0005-0000-0000-000066000000}"/>
    <cellStyle name="Subtotal" xfId="154" xr:uid="{00000000-0005-0000-0000-000067000000}"/>
    <cellStyle name="Table Head" xfId="155" xr:uid="{00000000-0005-0000-0000-000068000000}"/>
    <cellStyle name="Table Head Aligned" xfId="156" xr:uid="{00000000-0005-0000-0000-000069000000}"/>
    <cellStyle name="Table headers" xfId="157" xr:uid="{00000000-0005-0000-0000-00006A000000}"/>
    <cellStyle name="Table text" xfId="158" xr:uid="{00000000-0005-0000-0000-00006B000000}"/>
    <cellStyle name="Table title" xfId="159" xr:uid="{00000000-0005-0000-0000-00006C000000}"/>
    <cellStyle name="Table Units" xfId="160" xr:uid="{00000000-0005-0000-0000-00006D000000}"/>
    <cellStyle name="Title Box" xfId="161" xr:uid="{00000000-0005-0000-0000-00006E000000}"/>
    <cellStyle name="Title Chart" xfId="162" xr:uid="{00000000-0005-0000-0000-00006F000000}"/>
    <cellStyle name="Title: 2 Lines" xfId="163" xr:uid="{00000000-0005-0000-0000-000070000000}"/>
    <cellStyle name="verdana" xfId="164" xr:uid="{00000000-0005-0000-0000-000071000000}"/>
    <cellStyle name="ZZ_Date_d-mmm-yy" xfId="165" xr:uid="{00000000-0005-0000-0000-000072000000}"/>
    <cellStyle name="咬訌裝?report-2 " xfId="166" xr:uid="{00000000-0005-0000-0000-000073000000}"/>
    <cellStyle name="굴림" xfId="167" xr:uid="{00000000-0005-0000-0000-000074000000}"/>
    <cellStyle name="금액" xfId="168" xr:uid="{00000000-0005-0000-0000-000075000000}"/>
    <cellStyle name="뒤에 오는 하이퍼링크" xfId="169" xr:uid="{00000000-0005-0000-0000-000076000000}"/>
    <cellStyle name="똿뗦먛귟 [0.00]_PRODUCT DETAIL Q1" xfId="170" xr:uid="{00000000-0005-0000-0000-000077000000}"/>
    <cellStyle name="똿뗦먛귟_PRODUCT DETAIL Q1" xfId="171" xr:uid="{00000000-0005-0000-0000-000078000000}"/>
    <cellStyle name="믅됞 [0.00]_PRODUCT DETAIL Q1" xfId="172" xr:uid="{00000000-0005-0000-0000-000079000000}"/>
    <cellStyle name="믅됞_PRODUCT DETAIL Q1" xfId="173" xr:uid="{00000000-0005-0000-0000-00007A000000}"/>
    <cellStyle name="백분율" xfId="407" builtinId="5"/>
    <cellStyle name="백분율 10" xfId="174" xr:uid="{00000000-0005-0000-0000-00007C000000}"/>
    <cellStyle name="백분율 11" xfId="175" xr:uid="{00000000-0005-0000-0000-00007D000000}"/>
    <cellStyle name="백분율 12" xfId="176" xr:uid="{00000000-0005-0000-0000-00007E000000}"/>
    <cellStyle name="백분율 13" xfId="177" xr:uid="{00000000-0005-0000-0000-00007F000000}"/>
    <cellStyle name="백분율 14" xfId="178" xr:uid="{00000000-0005-0000-0000-000080000000}"/>
    <cellStyle name="백분율 15" xfId="179" xr:uid="{00000000-0005-0000-0000-000081000000}"/>
    <cellStyle name="백분율 16" xfId="180" xr:uid="{00000000-0005-0000-0000-000082000000}"/>
    <cellStyle name="백분율 17" xfId="181" xr:uid="{00000000-0005-0000-0000-000083000000}"/>
    <cellStyle name="백분율 18" xfId="182" xr:uid="{00000000-0005-0000-0000-000084000000}"/>
    <cellStyle name="백분율 19" xfId="183" xr:uid="{00000000-0005-0000-0000-000085000000}"/>
    <cellStyle name="백분율 2" xfId="184" xr:uid="{00000000-0005-0000-0000-000086000000}"/>
    <cellStyle name="백분율 20" xfId="185" xr:uid="{00000000-0005-0000-0000-000087000000}"/>
    <cellStyle name="백분율 21" xfId="186" xr:uid="{00000000-0005-0000-0000-000088000000}"/>
    <cellStyle name="백분율 22" xfId="187" xr:uid="{00000000-0005-0000-0000-000089000000}"/>
    <cellStyle name="백분율 23" xfId="188" xr:uid="{00000000-0005-0000-0000-00008A000000}"/>
    <cellStyle name="백분율 24" xfId="189" xr:uid="{00000000-0005-0000-0000-00008B000000}"/>
    <cellStyle name="백분율 25" xfId="190" xr:uid="{00000000-0005-0000-0000-00008C000000}"/>
    <cellStyle name="백분율 26" xfId="191" xr:uid="{00000000-0005-0000-0000-00008D000000}"/>
    <cellStyle name="백분율 27" xfId="192" xr:uid="{00000000-0005-0000-0000-00008E000000}"/>
    <cellStyle name="백분율 28" xfId="193" xr:uid="{00000000-0005-0000-0000-00008F000000}"/>
    <cellStyle name="백분율 29" xfId="194" xr:uid="{00000000-0005-0000-0000-000090000000}"/>
    <cellStyle name="백분율 3" xfId="195" xr:uid="{00000000-0005-0000-0000-000091000000}"/>
    <cellStyle name="백분율 30" xfId="565" xr:uid="{00000000-0005-0000-0000-000092000000}"/>
    <cellStyle name="백분율 31" xfId="409" xr:uid="{00000000-0005-0000-0000-000093000000}"/>
    <cellStyle name="백분율 4" xfId="196" xr:uid="{00000000-0005-0000-0000-000094000000}"/>
    <cellStyle name="백분율 5" xfId="197" xr:uid="{00000000-0005-0000-0000-000095000000}"/>
    <cellStyle name="백분율 6" xfId="198" xr:uid="{00000000-0005-0000-0000-000096000000}"/>
    <cellStyle name="백분율 7" xfId="199" xr:uid="{00000000-0005-0000-0000-000097000000}"/>
    <cellStyle name="백분율 8" xfId="200" xr:uid="{00000000-0005-0000-0000-000098000000}"/>
    <cellStyle name="백분율 9" xfId="201" xr:uid="{00000000-0005-0000-0000-000099000000}"/>
    <cellStyle name="뷭?_BOOKSHIP" xfId="202" xr:uid="{00000000-0005-0000-0000-00009A000000}"/>
    <cellStyle name="새귑[0]_롤痰삠悧 " xfId="203" xr:uid="{00000000-0005-0000-0000-00009B000000}"/>
    <cellStyle name="새귑_롤痰삠悧 " xfId="204" xr:uid="{00000000-0005-0000-0000-00009C000000}"/>
    <cellStyle name="쉼표 [0]" xfId="4" builtinId="6"/>
    <cellStyle name="쉼표 [0] 10" xfId="206" xr:uid="{00000000-0005-0000-0000-00009E000000}"/>
    <cellStyle name="쉼표 [0] 10 2" xfId="375" xr:uid="{00000000-0005-0000-0000-00009F000000}"/>
    <cellStyle name="쉼표 [0] 10 2 2" xfId="533" xr:uid="{00000000-0005-0000-0000-0000A0000000}"/>
    <cellStyle name="쉼표 [0] 10 2 3" xfId="600" xr:uid="{CCE04FAB-A483-4225-B361-98F878C99841}"/>
    <cellStyle name="쉼표 [0] 10 3" xfId="457" xr:uid="{00000000-0005-0000-0000-0000A1000000}"/>
    <cellStyle name="쉼표 [0] 10 4" xfId="568" xr:uid="{95EA63BC-6079-49A7-AF98-34E5210ADDF0}"/>
    <cellStyle name="쉼표 [0] 11" xfId="207" xr:uid="{00000000-0005-0000-0000-0000A2000000}"/>
    <cellStyle name="쉼표 [0] 11 2" xfId="376" xr:uid="{00000000-0005-0000-0000-0000A3000000}"/>
    <cellStyle name="쉼표 [0] 11 2 2" xfId="534" xr:uid="{00000000-0005-0000-0000-0000A4000000}"/>
    <cellStyle name="쉼표 [0] 11 2 3" xfId="601" xr:uid="{DA584C35-C49B-41E7-ABDF-E1D96235888E}"/>
    <cellStyle name="쉼표 [0] 11 3" xfId="458" xr:uid="{00000000-0005-0000-0000-0000A5000000}"/>
    <cellStyle name="쉼표 [0] 11 4" xfId="569" xr:uid="{C5525C4A-821E-461E-AF42-8370DC456687}"/>
    <cellStyle name="쉼표 [0] 12" xfId="208" xr:uid="{00000000-0005-0000-0000-0000A6000000}"/>
    <cellStyle name="쉼표 [0] 12 2" xfId="377" xr:uid="{00000000-0005-0000-0000-0000A7000000}"/>
    <cellStyle name="쉼표 [0] 12 2 2" xfId="535" xr:uid="{00000000-0005-0000-0000-0000A8000000}"/>
    <cellStyle name="쉼표 [0] 12 2 3" xfId="602" xr:uid="{3156C2C6-4F58-4983-BAEE-B5B5249F1CAB}"/>
    <cellStyle name="쉼표 [0] 12 3" xfId="459" xr:uid="{00000000-0005-0000-0000-0000A9000000}"/>
    <cellStyle name="쉼표 [0] 12 4" xfId="570" xr:uid="{ADFAFF75-3689-4985-A9DA-4F0892FA830A}"/>
    <cellStyle name="쉼표 [0] 13" xfId="209" xr:uid="{00000000-0005-0000-0000-0000AA000000}"/>
    <cellStyle name="쉼표 [0] 13 2" xfId="378" xr:uid="{00000000-0005-0000-0000-0000AB000000}"/>
    <cellStyle name="쉼표 [0] 13 2 2" xfId="536" xr:uid="{00000000-0005-0000-0000-0000AC000000}"/>
    <cellStyle name="쉼표 [0] 13 2 3" xfId="603" xr:uid="{AEEACCBE-7D80-41D6-BB9B-5FF16AF04033}"/>
    <cellStyle name="쉼표 [0] 13 3" xfId="460" xr:uid="{00000000-0005-0000-0000-0000AD000000}"/>
    <cellStyle name="쉼표 [0] 13 4" xfId="571" xr:uid="{E6A89AA3-605A-448E-B0C8-BFBBC70D7BEC}"/>
    <cellStyle name="쉼표 [0] 14" xfId="210" xr:uid="{00000000-0005-0000-0000-0000AE000000}"/>
    <cellStyle name="쉼표 [0] 14 2" xfId="379" xr:uid="{00000000-0005-0000-0000-0000AF000000}"/>
    <cellStyle name="쉼표 [0] 14 2 2" xfId="537" xr:uid="{00000000-0005-0000-0000-0000B0000000}"/>
    <cellStyle name="쉼표 [0] 14 2 3" xfId="604" xr:uid="{6D13F2FC-5879-4271-B08D-B305789E2C26}"/>
    <cellStyle name="쉼표 [0] 14 3" xfId="461" xr:uid="{00000000-0005-0000-0000-0000B1000000}"/>
    <cellStyle name="쉼표 [0] 14 4" xfId="572" xr:uid="{4FAFED57-0E6C-4CC6-8CC3-63AE0DC9EE73}"/>
    <cellStyle name="쉼표 [0] 15" xfId="211" xr:uid="{00000000-0005-0000-0000-0000B2000000}"/>
    <cellStyle name="쉼표 [0] 15 2" xfId="380" xr:uid="{00000000-0005-0000-0000-0000B3000000}"/>
    <cellStyle name="쉼표 [0] 15 2 2" xfId="538" xr:uid="{00000000-0005-0000-0000-0000B4000000}"/>
    <cellStyle name="쉼표 [0] 15 2 3" xfId="605" xr:uid="{F10418C1-0CC9-4822-BF33-E4CBA3DCF7EF}"/>
    <cellStyle name="쉼표 [0] 15 3" xfId="462" xr:uid="{00000000-0005-0000-0000-0000B5000000}"/>
    <cellStyle name="쉼표 [0] 15 4" xfId="573" xr:uid="{947FCE7A-17D2-4BEE-B37D-1D529324BDB1}"/>
    <cellStyle name="쉼표 [0] 16" xfId="212" xr:uid="{00000000-0005-0000-0000-0000B6000000}"/>
    <cellStyle name="쉼표 [0] 16 2" xfId="381" xr:uid="{00000000-0005-0000-0000-0000B7000000}"/>
    <cellStyle name="쉼표 [0] 16 2 2" xfId="539" xr:uid="{00000000-0005-0000-0000-0000B8000000}"/>
    <cellStyle name="쉼표 [0] 16 2 3" xfId="606" xr:uid="{C54CBE16-5360-436C-8698-2ACC1A5AA2FA}"/>
    <cellStyle name="쉼표 [0] 16 3" xfId="463" xr:uid="{00000000-0005-0000-0000-0000B9000000}"/>
    <cellStyle name="쉼표 [0] 16 4" xfId="574" xr:uid="{BD75A3B2-3E32-4C2C-AB8E-DA8BB09800B8}"/>
    <cellStyle name="쉼표 [0] 17" xfId="213" xr:uid="{00000000-0005-0000-0000-0000BA000000}"/>
    <cellStyle name="쉼표 [0] 17 2" xfId="382" xr:uid="{00000000-0005-0000-0000-0000BB000000}"/>
    <cellStyle name="쉼표 [0] 17 2 2" xfId="540" xr:uid="{00000000-0005-0000-0000-0000BC000000}"/>
    <cellStyle name="쉼표 [0] 17 2 3" xfId="607" xr:uid="{D57D1C23-3ED4-4328-808C-B0CAA92E7D02}"/>
    <cellStyle name="쉼표 [0] 17 3" xfId="464" xr:uid="{00000000-0005-0000-0000-0000BD000000}"/>
    <cellStyle name="쉼표 [0] 17 4" xfId="575" xr:uid="{8224208A-A2FA-400E-8F75-000A0A040130}"/>
    <cellStyle name="쉼표 [0] 18" xfId="214" xr:uid="{00000000-0005-0000-0000-0000BE000000}"/>
    <cellStyle name="쉼표 [0] 18 2" xfId="383" xr:uid="{00000000-0005-0000-0000-0000BF000000}"/>
    <cellStyle name="쉼표 [0] 18 2 2" xfId="541" xr:uid="{00000000-0005-0000-0000-0000C0000000}"/>
    <cellStyle name="쉼표 [0] 18 2 3" xfId="608" xr:uid="{37F3606C-0809-40B0-90BF-2EACE36E184A}"/>
    <cellStyle name="쉼표 [0] 18 3" xfId="465" xr:uid="{00000000-0005-0000-0000-0000C1000000}"/>
    <cellStyle name="쉼표 [0] 18 4" xfId="576" xr:uid="{56C2F8B9-357F-4231-B474-407D4FD5DF07}"/>
    <cellStyle name="쉼표 [0] 19" xfId="215" xr:uid="{00000000-0005-0000-0000-0000C2000000}"/>
    <cellStyle name="쉼표 [0] 19 2" xfId="384" xr:uid="{00000000-0005-0000-0000-0000C3000000}"/>
    <cellStyle name="쉼표 [0] 19 2 2" xfId="542" xr:uid="{00000000-0005-0000-0000-0000C4000000}"/>
    <cellStyle name="쉼표 [0] 19 2 3" xfId="609" xr:uid="{8D894F0E-3469-492F-8D3D-0F3F09D29C1D}"/>
    <cellStyle name="쉼표 [0] 19 3" xfId="466" xr:uid="{00000000-0005-0000-0000-0000C5000000}"/>
    <cellStyle name="쉼표 [0] 19 4" xfId="577" xr:uid="{DBAE1E63-C82B-4DFA-BA72-B415341A7C3E}"/>
    <cellStyle name="쉼표 [0] 2" xfId="216" xr:uid="{00000000-0005-0000-0000-0000C6000000}"/>
    <cellStyle name="쉼표 [0] 2 2" xfId="385" xr:uid="{00000000-0005-0000-0000-0000C7000000}"/>
    <cellStyle name="쉼표 [0] 2 2 2" xfId="543" xr:uid="{00000000-0005-0000-0000-0000C8000000}"/>
    <cellStyle name="쉼표 [0] 2 2 3" xfId="610" xr:uid="{0B197F04-5E61-4D57-89A4-00325CAB1C3B}"/>
    <cellStyle name="쉼표 [0] 2 3" xfId="467" xr:uid="{00000000-0005-0000-0000-0000C9000000}"/>
    <cellStyle name="쉼표 [0] 2 4" xfId="578" xr:uid="{A166E6E8-F23B-46E2-B8F1-E09F680EBD7B}"/>
    <cellStyle name="쉼표 [0] 20" xfId="217" xr:uid="{00000000-0005-0000-0000-0000CA000000}"/>
    <cellStyle name="쉼표 [0] 20 2" xfId="386" xr:uid="{00000000-0005-0000-0000-0000CB000000}"/>
    <cellStyle name="쉼표 [0] 20 2 2" xfId="544" xr:uid="{00000000-0005-0000-0000-0000CC000000}"/>
    <cellStyle name="쉼표 [0] 20 2 3" xfId="611" xr:uid="{BFA3AE64-CBF2-4883-B2E5-DF542E8801A5}"/>
    <cellStyle name="쉼표 [0] 20 3" xfId="468" xr:uid="{00000000-0005-0000-0000-0000CD000000}"/>
    <cellStyle name="쉼표 [0] 20 4" xfId="579" xr:uid="{4B8649F7-FFC2-48DE-9497-6E26C133F268}"/>
    <cellStyle name="쉼표 [0] 21" xfId="218" xr:uid="{00000000-0005-0000-0000-0000CE000000}"/>
    <cellStyle name="쉼표 [0] 21 2" xfId="387" xr:uid="{00000000-0005-0000-0000-0000CF000000}"/>
    <cellStyle name="쉼표 [0] 21 2 2" xfId="545" xr:uid="{00000000-0005-0000-0000-0000D0000000}"/>
    <cellStyle name="쉼표 [0] 21 2 3" xfId="612" xr:uid="{AFC6F840-7FDD-4F1A-92E5-CF0AEDE5F370}"/>
    <cellStyle name="쉼표 [0] 21 3" xfId="469" xr:uid="{00000000-0005-0000-0000-0000D1000000}"/>
    <cellStyle name="쉼표 [0] 21 4" xfId="580" xr:uid="{CC116A58-D9A7-4ACA-8BF3-CFEB98D7ED44}"/>
    <cellStyle name="쉼표 [0] 22" xfId="219" xr:uid="{00000000-0005-0000-0000-0000D2000000}"/>
    <cellStyle name="쉼표 [0] 22 2" xfId="388" xr:uid="{00000000-0005-0000-0000-0000D3000000}"/>
    <cellStyle name="쉼표 [0] 22 2 2" xfId="546" xr:uid="{00000000-0005-0000-0000-0000D4000000}"/>
    <cellStyle name="쉼표 [0] 22 2 3" xfId="613" xr:uid="{B421E861-5F03-49EA-9824-92E4CCD9AE22}"/>
    <cellStyle name="쉼표 [0] 22 3" xfId="470" xr:uid="{00000000-0005-0000-0000-0000D5000000}"/>
    <cellStyle name="쉼표 [0] 22 4" xfId="581" xr:uid="{C75D0F8A-E25C-4925-BD90-64524D14F864}"/>
    <cellStyle name="쉼표 [0] 23" xfId="220" xr:uid="{00000000-0005-0000-0000-0000D6000000}"/>
    <cellStyle name="쉼표 [0] 23 2" xfId="389" xr:uid="{00000000-0005-0000-0000-0000D7000000}"/>
    <cellStyle name="쉼표 [0] 23 2 2" xfId="547" xr:uid="{00000000-0005-0000-0000-0000D8000000}"/>
    <cellStyle name="쉼표 [0] 23 2 3" xfId="614" xr:uid="{D161E434-423A-403C-9171-57081D27448D}"/>
    <cellStyle name="쉼표 [0] 23 3" xfId="471" xr:uid="{00000000-0005-0000-0000-0000D9000000}"/>
    <cellStyle name="쉼표 [0] 23 4" xfId="582" xr:uid="{A0EAD65D-07E4-48EE-9338-318E635E067B}"/>
    <cellStyle name="쉼표 [0] 24" xfId="221" xr:uid="{00000000-0005-0000-0000-0000DA000000}"/>
    <cellStyle name="쉼표 [0] 24 2" xfId="390" xr:uid="{00000000-0005-0000-0000-0000DB000000}"/>
    <cellStyle name="쉼표 [0] 24 2 2" xfId="548" xr:uid="{00000000-0005-0000-0000-0000DC000000}"/>
    <cellStyle name="쉼표 [0] 24 2 3" xfId="615" xr:uid="{1E29DDA2-7EAB-42AB-96E2-C3F33706FD26}"/>
    <cellStyle name="쉼표 [0] 24 3" xfId="472" xr:uid="{00000000-0005-0000-0000-0000DD000000}"/>
    <cellStyle name="쉼표 [0] 24 4" xfId="583" xr:uid="{F664A606-C8C8-4222-908E-80A18031C6B8}"/>
    <cellStyle name="쉼표 [0] 25" xfId="222" xr:uid="{00000000-0005-0000-0000-0000DE000000}"/>
    <cellStyle name="쉼표 [0] 25 2" xfId="391" xr:uid="{00000000-0005-0000-0000-0000DF000000}"/>
    <cellStyle name="쉼표 [0] 25 2 2" xfId="549" xr:uid="{00000000-0005-0000-0000-0000E0000000}"/>
    <cellStyle name="쉼표 [0] 25 2 3" xfId="616" xr:uid="{EDF56D4E-7A12-4749-B913-5C248510CDDC}"/>
    <cellStyle name="쉼표 [0] 25 3" xfId="473" xr:uid="{00000000-0005-0000-0000-0000E1000000}"/>
    <cellStyle name="쉼표 [0] 25 4" xfId="584" xr:uid="{B516F0B6-3CA3-4110-89F6-CF3A5B4C7DF4}"/>
    <cellStyle name="쉼표 [0] 26" xfId="223" xr:uid="{00000000-0005-0000-0000-0000E2000000}"/>
    <cellStyle name="쉼표 [0] 26 2" xfId="392" xr:uid="{00000000-0005-0000-0000-0000E3000000}"/>
    <cellStyle name="쉼표 [0] 26 2 2" xfId="550" xr:uid="{00000000-0005-0000-0000-0000E4000000}"/>
    <cellStyle name="쉼표 [0] 26 2 3" xfId="617" xr:uid="{0AC1B473-729A-4A91-A037-2C00ADE2F777}"/>
    <cellStyle name="쉼표 [0] 26 3" xfId="474" xr:uid="{00000000-0005-0000-0000-0000E5000000}"/>
    <cellStyle name="쉼표 [0] 26 4" xfId="585" xr:uid="{C78F5CE4-53F4-4CBB-BD7C-F2A4E0DAE106}"/>
    <cellStyle name="쉼표 [0] 27" xfId="224" xr:uid="{00000000-0005-0000-0000-0000E6000000}"/>
    <cellStyle name="쉼표 [0] 27 2" xfId="393" xr:uid="{00000000-0005-0000-0000-0000E7000000}"/>
    <cellStyle name="쉼표 [0] 27 2 2" xfId="551" xr:uid="{00000000-0005-0000-0000-0000E8000000}"/>
    <cellStyle name="쉼표 [0] 27 2 3" xfId="618" xr:uid="{38BFD570-B36B-4342-B1A3-B17AA6E6BAED}"/>
    <cellStyle name="쉼표 [0] 27 3" xfId="475" xr:uid="{00000000-0005-0000-0000-0000E9000000}"/>
    <cellStyle name="쉼표 [0] 27 4" xfId="586" xr:uid="{5042C498-7293-4443-81DB-E883F52CB254}"/>
    <cellStyle name="쉼표 [0] 28" xfId="225" xr:uid="{00000000-0005-0000-0000-0000EA000000}"/>
    <cellStyle name="쉼표 [0] 28 2" xfId="394" xr:uid="{00000000-0005-0000-0000-0000EB000000}"/>
    <cellStyle name="쉼표 [0] 28 2 2" xfId="552" xr:uid="{00000000-0005-0000-0000-0000EC000000}"/>
    <cellStyle name="쉼표 [0] 28 2 3" xfId="619" xr:uid="{A754CE82-2992-4CE5-B0AD-6B3AE6DE2974}"/>
    <cellStyle name="쉼표 [0] 28 3" xfId="476" xr:uid="{00000000-0005-0000-0000-0000ED000000}"/>
    <cellStyle name="쉼표 [0] 28 4" xfId="587" xr:uid="{7E32E945-8F1D-4912-A20A-EA9A072AE216}"/>
    <cellStyle name="쉼표 [0] 29" xfId="226" xr:uid="{00000000-0005-0000-0000-0000EE000000}"/>
    <cellStyle name="쉼표 [0] 29 2" xfId="395" xr:uid="{00000000-0005-0000-0000-0000EF000000}"/>
    <cellStyle name="쉼표 [0] 29 2 2" xfId="553" xr:uid="{00000000-0005-0000-0000-0000F0000000}"/>
    <cellStyle name="쉼표 [0] 29 2 3" xfId="620" xr:uid="{C05728AE-E1D1-440E-8E04-10ABC5AA404A}"/>
    <cellStyle name="쉼표 [0] 29 3" xfId="477" xr:uid="{00000000-0005-0000-0000-0000F1000000}"/>
    <cellStyle name="쉼표 [0] 29 4" xfId="588" xr:uid="{DFB7E46E-AE91-4477-81E4-42C47D788930}"/>
    <cellStyle name="쉼표 [0] 3" xfId="227" xr:uid="{00000000-0005-0000-0000-0000F2000000}"/>
    <cellStyle name="쉼표 [0] 3 2" xfId="396" xr:uid="{00000000-0005-0000-0000-0000F3000000}"/>
    <cellStyle name="쉼표 [0] 3 2 2" xfId="554" xr:uid="{00000000-0005-0000-0000-0000F4000000}"/>
    <cellStyle name="쉼표 [0] 3 2 3" xfId="621" xr:uid="{46CB1447-6541-4043-973A-33E9253E76E9}"/>
    <cellStyle name="쉼표 [0] 3 3" xfId="478" xr:uid="{00000000-0005-0000-0000-0000F5000000}"/>
    <cellStyle name="쉼표 [0] 3 4" xfId="589" xr:uid="{4FF32F76-E4DC-4AF7-AEA0-7696055FE3FE}"/>
    <cellStyle name="쉼표 [0] 30" xfId="228" xr:uid="{00000000-0005-0000-0000-0000F6000000}"/>
    <cellStyle name="쉼표 [0] 30 2" xfId="397" xr:uid="{00000000-0005-0000-0000-0000F7000000}"/>
    <cellStyle name="쉼표 [0] 30 2 2" xfId="555" xr:uid="{00000000-0005-0000-0000-0000F8000000}"/>
    <cellStyle name="쉼표 [0] 30 2 3" xfId="622" xr:uid="{0751047D-B131-4AED-8372-C199D7291351}"/>
    <cellStyle name="쉼표 [0] 30 3" xfId="479" xr:uid="{00000000-0005-0000-0000-0000F9000000}"/>
    <cellStyle name="쉼표 [0] 30 4" xfId="590" xr:uid="{C13237DA-AA6C-4755-839A-3E26B7892FAB}"/>
    <cellStyle name="쉼표 [0] 31" xfId="229" xr:uid="{00000000-0005-0000-0000-0000FA000000}"/>
    <cellStyle name="쉼표 [0] 31 2" xfId="398" xr:uid="{00000000-0005-0000-0000-0000FB000000}"/>
    <cellStyle name="쉼표 [0] 31 2 2" xfId="556" xr:uid="{00000000-0005-0000-0000-0000FC000000}"/>
    <cellStyle name="쉼표 [0] 31 2 3" xfId="623" xr:uid="{E1C4AF34-8DCD-4427-B8E7-3CF4518C2AA3}"/>
    <cellStyle name="쉼표 [0] 31 3" xfId="480" xr:uid="{00000000-0005-0000-0000-0000FD000000}"/>
    <cellStyle name="쉼표 [0] 31 4" xfId="591" xr:uid="{DD173F71-F302-4B99-8BDC-54CE9F019C92}"/>
    <cellStyle name="쉼표 [0] 32" xfId="205" xr:uid="{00000000-0005-0000-0000-0000FE000000}"/>
    <cellStyle name="쉼표 [0] 32 2" xfId="374" xr:uid="{00000000-0005-0000-0000-0000FF000000}"/>
    <cellStyle name="쉼표 [0] 32 2 2" xfId="532" xr:uid="{00000000-0005-0000-0000-000000010000}"/>
    <cellStyle name="쉼표 [0] 32 2 3" xfId="599" xr:uid="{419CC9AF-2F62-4BC8-A8AB-D7BDEA66F80F}"/>
    <cellStyle name="쉼표 [0] 32 3" xfId="456" xr:uid="{00000000-0005-0000-0000-000001010000}"/>
    <cellStyle name="쉼표 [0] 32 4" xfId="567" xr:uid="{BE3589B4-7254-4669-A26A-2C2D7065B28C}"/>
    <cellStyle name="쉼표 [0] 33" xfId="331" xr:uid="{00000000-0005-0000-0000-000002010000}"/>
    <cellStyle name="쉼표 [0] 33 2" xfId="489" xr:uid="{00000000-0005-0000-0000-000003010000}"/>
    <cellStyle name="쉼표 [0] 33 3" xfId="598" xr:uid="{D846CFA5-171E-4302-AEC9-447F514C3693}"/>
    <cellStyle name="쉼표 [0] 34" xfId="413" xr:uid="{00000000-0005-0000-0000-000004010000}"/>
    <cellStyle name="쉼표 [0] 35" xfId="566" xr:uid="{E079380A-D9FE-40ED-B531-460098996BA0}"/>
    <cellStyle name="쉼표 [0] 4" xfId="230" xr:uid="{00000000-0005-0000-0000-000005010000}"/>
    <cellStyle name="쉼표 [0] 4 2" xfId="399" xr:uid="{00000000-0005-0000-0000-000006010000}"/>
    <cellStyle name="쉼표 [0] 4 2 2" xfId="557" xr:uid="{00000000-0005-0000-0000-000007010000}"/>
    <cellStyle name="쉼표 [0] 4 2 3" xfId="624" xr:uid="{EFB082D1-D08A-4903-9482-1A610EC92168}"/>
    <cellStyle name="쉼표 [0] 4 3" xfId="481" xr:uid="{00000000-0005-0000-0000-000008010000}"/>
    <cellStyle name="쉼표 [0] 4 4" xfId="592" xr:uid="{DE8E8853-18C9-40D5-909C-92BBA19038DE}"/>
    <cellStyle name="쉼표 [0] 5" xfId="231" xr:uid="{00000000-0005-0000-0000-000009010000}"/>
    <cellStyle name="쉼표 [0] 5 2" xfId="400" xr:uid="{00000000-0005-0000-0000-00000A010000}"/>
    <cellStyle name="쉼표 [0] 5 2 2" xfId="558" xr:uid="{00000000-0005-0000-0000-00000B010000}"/>
    <cellStyle name="쉼표 [0] 5 2 3" xfId="625" xr:uid="{E82DB5EB-0822-4D58-8C21-98A23C096DB3}"/>
    <cellStyle name="쉼표 [0] 5 3" xfId="482" xr:uid="{00000000-0005-0000-0000-00000C010000}"/>
    <cellStyle name="쉼표 [0] 5 4" xfId="593" xr:uid="{9A8D061E-B7BB-4C44-AC57-BC77C9CD3C7C}"/>
    <cellStyle name="쉼표 [0] 6" xfId="232" xr:uid="{00000000-0005-0000-0000-00000D010000}"/>
    <cellStyle name="쉼표 [0] 6 2" xfId="401" xr:uid="{00000000-0005-0000-0000-00000E010000}"/>
    <cellStyle name="쉼표 [0] 6 2 2" xfId="559" xr:uid="{00000000-0005-0000-0000-00000F010000}"/>
    <cellStyle name="쉼표 [0] 6 2 3" xfId="626" xr:uid="{101F2C86-B514-4B2B-A777-371ADDE46DA9}"/>
    <cellStyle name="쉼표 [0] 6 3" xfId="483" xr:uid="{00000000-0005-0000-0000-000010010000}"/>
    <cellStyle name="쉼표 [0] 6 4" xfId="594" xr:uid="{76B185E5-91F8-4051-ABD7-094B41694B3E}"/>
    <cellStyle name="쉼표 [0] 7" xfId="233" xr:uid="{00000000-0005-0000-0000-000011010000}"/>
    <cellStyle name="쉼표 [0] 7 2" xfId="402" xr:uid="{00000000-0005-0000-0000-000012010000}"/>
    <cellStyle name="쉼표 [0] 7 2 2" xfId="560" xr:uid="{00000000-0005-0000-0000-000013010000}"/>
    <cellStyle name="쉼표 [0] 7 2 3" xfId="627" xr:uid="{EAD60D05-DF38-4379-AA5B-A442B8825EDB}"/>
    <cellStyle name="쉼표 [0] 7 3" xfId="484" xr:uid="{00000000-0005-0000-0000-000014010000}"/>
    <cellStyle name="쉼표 [0] 7 4" xfId="595" xr:uid="{27DF30D2-B5F2-4B99-9C5E-C20D61F9D221}"/>
    <cellStyle name="쉼표 [0] 8" xfId="234" xr:uid="{00000000-0005-0000-0000-000015010000}"/>
    <cellStyle name="쉼표 [0] 8 2" xfId="403" xr:uid="{00000000-0005-0000-0000-000016010000}"/>
    <cellStyle name="쉼표 [0] 8 2 2" xfId="561" xr:uid="{00000000-0005-0000-0000-000017010000}"/>
    <cellStyle name="쉼표 [0] 8 2 3" xfId="628" xr:uid="{6C94FB38-DC03-4BE3-A75A-C9535D9AF416}"/>
    <cellStyle name="쉼표 [0] 8 3" xfId="485" xr:uid="{00000000-0005-0000-0000-000018010000}"/>
    <cellStyle name="쉼표 [0] 8 4" xfId="596" xr:uid="{3ED2E495-E273-4BE7-84D0-54D70CEC4C30}"/>
    <cellStyle name="쉼표 [0] 9" xfId="235" xr:uid="{00000000-0005-0000-0000-000019010000}"/>
    <cellStyle name="쉼표 [0] 9 2" xfId="404" xr:uid="{00000000-0005-0000-0000-00001A010000}"/>
    <cellStyle name="쉼표 [0] 9 2 2" xfId="562" xr:uid="{00000000-0005-0000-0000-00001B010000}"/>
    <cellStyle name="쉼표 [0] 9 2 3" xfId="629" xr:uid="{3B8F2012-AAD1-41BF-A230-D1665335CC94}"/>
    <cellStyle name="쉼표 [0] 9 3" xfId="486" xr:uid="{00000000-0005-0000-0000-00001C010000}"/>
    <cellStyle name="쉼표 [0] 9 4" xfId="597" xr:uid="{ECEA5AFF-0899-4855-88F1-27FF1F59575F}"/>
    <cellStyle name="스타일 1" xfId="236" xr:uid="{00000000-0005-0000-0000-00001D010000}"/>
    <cellStyle name="지정되지 않음" xfId="237" xr:uid="{00000000-0005-0000-0000-00001E010000}"/>
    <cellStyle name="콤마 [0]" xfId="238" xr:uid="{00000000-0005-0000-0000-00001F010000}"/>
    <cellStyle name="콤마_  종  합  " xfId="239" xr:uid="{00000000-0005-0000-0000-000020010000}"/>
    <cellStyle name="표준" xfId="0" builtinId="0"/>
    <cellStyle name="표준 10" xfId="240" xr:uid="{00000000-0005-0000-0000-000022010000}"/>
    <cellStyle name="표준 11" xfId="241" xr:uid="{00000000-0005-0000-0000-000023010000}"/>
    <cellStyle name="표준 12" xfId="242" xr:uid="{00000000-0005-0000-0000-000024010000}"/>
    <cellStyle name="표준 13" xfId="243" xr:uid="{00000000-0005-0000-0000-000025010000}"/>
    <cellStyle name="표준 14" xfId="244" xr:uid="{00000000-0005-0000-0000-000026010000}"/>
    <cellStyle name="표준 15" xfId="245" xr:uid="{00000000-0005-0000-0000-000027010000}"/>
    <cellStyle name="표준 16" xfId="246" xr:uid="{00000000-0005-0000-0000-000028010000}"/>
    <cellStyle name="표준 17" xfId="247" xr:uid="{00000000-0005-0000-0000-000029010000}"/>
    <cellStyle name="표준 18" xfId="248" xr:uid="{00000000-0005-0000-0000-00002A010000}"/>
    <cellStyle name="표준 19" xfId="249" xr:uid="{00000000-0005-0000-0000-00002B010000}"/>
    <cellStyle name="표준 2" xfId="2" xr:uid="{00000000-0005-0000-0000-00002C010000}"/>
    <cellStyle name="표준 2 2" xfId="251" xr:uid="{00000000-0005-0000-0000-00002D010000}"/>
    <cellStyle name="표준 2 3" xfId="250" xr:uid="{00000000-0005-0000-0000-00002E010000}"/>
    <cellStyle name="표준 2 4" xfId="412" xr:uid="{00000000-0005-0000-0000-00002F010000}"/>
    <cellStyle name="표준 2 5" xfId="410" xr:uid="{00000000-0005-0000-0000-000030010000}"/>
    <cellStyle name="표준 20" xfId="252" xr:uid="{00000000-0005-0000-0000-000031010000}"/>
    <cellStyle name="표준 21" xfId="253" xr:uid="{00000000-0005-0000-0000-000032010000}"/>
    <cellStyle name="표준 22" xfId="254" xr:uid="{00000000-0005-0000-0000-000033010000}"/>
    <cellStyle name="표준 23" xfId="255" xr:uid="{00000000-0005-0000-0000-000034010000}"/>
    <cellStyle name="표준 24" xfId="256" xr:uid="{00000000-0005-0000-0000-000035010000}"/>
    <cellStyle name="표준 25" xfId="257" xr:uid="{00000000-0005-0000-0000-000036010000}"/>
    <cellStyle name="표준 26" xfId="258" xr:uid="{00000000-0005-0000-0000-000037010000}"/>
    <cellStyle name="표준 27" xfId="259" xr:uid="{00000000-0005-0000-0000-000038010000}"/>
    <cellStyle name="표준 28" xfId="260" xr:uid="{00000000-0005-0000-0000-000039010000}"/>
    <cellStyle name="표준 29" xfId="261" xr:uid="{00000000-0005-0000-0000-00003A010000}"/>
    <cellStyle name="표준 3" xfId="5" xr:uid="{00000000-0005-0000-0000-00003B010000}"/>
    <cellStyle name="표준 3 10" xfId="19" xr:uid="{00000000-0005-0000-0000-00003C010000}"/>
    <cellStyle name="표준 3 10 2" xfId="264" xr:uid="{00000000-0005-0000-0000-00003D010000}"/>
    <cellStyle name="표준 3 10 3" xfId="265" xr:uid="{00000000-0005-0000-0000-00003E010000}"/>
    <cellStyle name="표준 3 10 4" xfId="263" xr:uid="{00000000-0005-0000-0000-00003F010000}"/>
    <cellStyle name="표준 3 10 5" xfId="341" xr:uid="{00000000-0005-0000-0000-000040010000}"/>
    <cellStyle name="표준 3 10 5 2" xfId="499" xr:uid="{00000000-0005-0000-0000-000041010000}"/>
    <cellStyle name="표준 3 10 6" xfId="423" xr:uid="{00000000-0005-0000-0000-000042010000}"/>
    <cellStyle name="표준 3 11" xfId="20" xr:uid="{00000000-0005-0000-0000-000043010000}"/>
    <cellStyle name="표준 3 11 2" xfId="267" xr:uid="{00000000-0005-0000-0000-000044010000}"/>
    <cellStyle name="표준 3 11 3" xfId="266" xr:uid="{00000000-0005-0000-0000-000045010000}"/>
    <cellStyle name="표준 3 11 4" xfId="342" xr:uid="{00000000-0005-0000-0000-000046010000}"/>
    <cellStyle name="표준 3 11 4 2" xfId="500" xr:uid="{00000000-0005-0000-0000-000047010000}"/>
    <cellStyle name="표준 3 11 5" xfId="424" xr:uid="{00000000-0005-0000-0000-000048010000}"/>
    <cellStyle name="표준 3 12" xfId="21" xr:uid="{00000000-0005-0000-0000-000049010000}"/>
    <cellStyle name="표준 3 12 2" xfId="269" xr:uid="{00000000-0005-0000-0000-00004A010000}"/>
    <cellStyle name="표준 3 12 3" xfId="268" xr:uid="{00000000-0005-0000-0000-00004B010000}"/>
    <cellStyle name="표준 3 12 4" xfId="343" xr:uid="{00000000-0005-0000-0000-00004C010000}"/>
    <cellStyle name="표준 3 12 4 2" xfId="501" xr:uid="{00000000-0005-0000-0000-00004D010000}"/>
    <cellStyle name="표준 3 12 5" xfId="425" xr:uid="{00000000-0005-0000-0000-00004E010000}"/>
    <cellStyle name="표준 3 13" xfId="22" xr:uid="{00000000-0005-0000-0000-00004F010000}"/>
    <cellStyle name="표준 3 13 2" xfId="271" xr:uid="{00000000-0005-0000-0000-000050010000}"/>
    <cellStyle name="표준 3 13 3" xfId="270" xr:uid="{00000000-0005-0000-0000-000051010000}"/>
    <cellStyle name="표준 3 13 4" xfId="344" xr:uid="{00000000-0005-0000-0000-000052010000}"/>
    <cellStyle name="표준 3 13 4 2" xfId="502" xr:uid="{00000000-0005-0000-0000-000053010000}"/>
    <cellStyle name="표준 3 13 5" xfId="426" xr:uid="{00000000-0005-0000-0000-000054010000}"/>
    <cellStyle name="표준 3 14" xfId="23" xr:uid="{00000000-0005-0000-0000-000055010000}"/>
    <cellStyle name="표준 3 14 2" xfId="273" xr:uid="{00000000-0005-0000-0000-000056010000}"/>
    <cellStyle name="표준 3 14 3" xfId="272" xr:uid="{00000000-0005-0000-0000-000057010000}"/>
    <cellStyle name="표준 3 14 4" xfId="345" xr:uid="{00000000-0005-0000-0000-000058010000}"/>
    <cellStyle name="표준 3 14 4 2" xfId="503" xr:uid="{00000000-0005-0000-0000-000059010000}"/>
    <cellStyle name="표준 3 14 5" xfId="427" xr:uid="{00000000-0005-0000-0000-00005A010000}"/>
    <cellStyle name="표준 3 15" xfId="24" xr:uid="{00000000-0005-0000-0000-00005B010000}"/>
    <cellStyle name="표준 3 15 2" xfId="275" xr:uid="{00000000-0005-0000-0000-00005C010000}"/>
    <cellStyle name="표준 3 15 3" xfId="274" xr:uid="{00000000-0005-0000-0000-00005D010000}"/>
    <cellStyle name="표준 3 15 4" xfId="346" xr:uid="{00000000-0005-0000-0000-00005E010000}"/>
    <cellStyle name="표준 3 15 4 2" xfId="504" xr:uid="{00000000-0005-0000-0000-00005F010000}"/>
    <cellStyle name="표준 3 15 5" xfId="428" xr:uid="{00000000-0005-0000-0000-000060010000}"/>
    <cellStyle name="표준 3 16" xfId="25" xr:uid="{00000000-0005-0000-0000-000061010000}"/>
    <cellStyle name="표준 3 16 2" xfId="277" xr:uid="{00000000-0005-0000-0000-000062010000}"/>
    <cellStyle name="표준 3 16 3" xfId="276" xr:uid="{00000000-0005-0000-0000-000063010000}"/>
    <cellStyle name="표준 3 16 4" xfId="347" xr:uid="{00000000-0005-0000-0000-000064010000}"/>
    <cellStyle name="표준 3 16 4 2" xfId="505" xr:uid="{00000000-0005-0000-0000-000065010000}"/>
    <cellStyle name="표준 3 16 5" xfId="429" xr:uid="{00000000-0005-0000-0000-000066010000}"/>
    <cellStyle name="표준 3 17" xfId="26" xr:uid="{00000000-0005-0000-0000-000067010000}"/>
    <cellStyle name="표준 3 17 2" xfId="279" xr:uid="{00000000-0005-0000-0000-000068010000}"/>
    <cellStyle name="표준 3 17 3" xfId="278" xr:uid="{00000000-0005-0000-0000-000069010000}"/>
    <cellStyle name="표준 3 17 4" xfId="348" xr:uid="{00000000-0005-0000-0000-00006A010000}"/>
    <cellStyle name="표준 3 17 4 2" xfId="506" xr:uid="{00000000-0005-0000-0000-00006B010000}"/>
    <cellStyle name="표준 3 17 5" xfId="430" xr:uid="{00000000-0005-0000-0000-00006C010000}"/>
    <cellStyle name="표준 3 18" xfId="27" xr:uid="{00000000-0005-0000-0000-00006D010000}"/>
    <cellStyle name="표준 3 18 2" xfId="281" xr:uid="{00000000-0005-0000-0000-00006E010000}"/>
    <cellStyle name="표준 3 18 3" xfId="280" xr:uid="{00000000-0005-0000-0000-00006F010000}"/>
    <cellStyle name="표준 3 18 4" xfId="349" xr:uid="{00000000-0005-0000-0000-000070010000}"/>
    <cellStyle name="표준 3 18 4 2" xfId="507" xr:uid="{00000000-0005-0000-0000-000071010000}"/>
    <cellStyle name="표준 3 18 5" xfId="431" xr:uid="{00000000-0005-0000-0000-000072010000}"/>
    <cellStyle name="표준 3 19" xfId="28" xr:uid="{00000000-0005-0000-0000-000073010000}"/>
    <cellStyle name="표준 3 19 2" xfId="283" xr:uid="{00000000-0005-0000-0000-000074010000}"/>
    <cellStyle name="표준 3 19 3" xfId="282" xr:uid="{00000000-0005-0000-0000-000075010000}"/>
    <cellStyle name="표준 3 19 4" xfId="350" xr:uid="{00000000-0005-0000-0000-000076010000}"/>
    <cellStyle name="표준 3 19 4 2" xfId="508" xr:uid="{00000000-0005-0000-0000-000077010000}"/>
    <cellStyle name="표준 3 19 5" xfId="432" xr:uid="{00000000-0005-0000-0000-000078010000}"/>
    <cellStyle name="표준 3 2" xfId="6" xr:uid="{00000000-0005-0000-0000-000079010000}"/>
    <cellStyle name="표준 3 2 2" xfId="285" xr:uid="{00000000-0005-0000-0000-00007A010000}"/>
    <cellStyle name="표준 3 2 3" xfId="286" xr:uid="{00000000-0005-0000-0000-00007B010000}"/>
    <cellStyle name="표준 3 2 4" xfId="287" xr:uid="{00000000-0005-0000-0000-00007C010000}"/>
    <cellStyle name="표준 3 2 5" xfId="284" xr:uid="{00000000-0005-0000-0000-00007D010000}"/>
    <cellStyle name="표준 3 2 6" xfId="333" xr:uid="{00000000-0005-0000-0000-00007E010000}"/>
    <cellStyle name="표준 3 2 6 2" xfId="491" xr:uid="{00000000-0005-0000-0000-00007F010000}"/>
    <cellStyle name="표준 3 2 7" xfId="415" xr:uid="{00000000-0005-0000-0000-000080010000}"/>
    <cellStyle name="표준 3 20" xfId="29" xr:uid="{00000000-0005-0000-0000-000081010000}"/>
    <cellStyle name="표준 3 20 2" xfId="288" xr:uid="{00000000-0005-0000-0000-000082010000}"/>
    <cellStyle name="표준 3 20 3" xfId="351" xr:uid="{00000000-0005-0000-0000-000083010000}"/>
    <cellStyle name="표준 3 20 3 2" xfId="509" xr:uid="{00000000-0005-0000-0000-000084010000}"/>
    <cellStyle name="표준 3 20 4" xfId="433" xr:uid="{00000000-0005-0000-0000-000085010000}"/>
    <cellStyle name="표준 3 21" xfId="30" xr:uid="{00000000-0005-0000-0000-000086010000}"/>
    <cellStyle name="표준 3 21 2" xfId="289" xr:uid="{00000000-0005-0000-0000-000087010000}"/>
    <cellStyle name="표준 3 21 3" xfId="352" xr:uid="{00000000-0005-0000-0000-000088010000}"/>
    <cellStyle name="표준 3 21 3 2" xfId="510" xr:uid="{00000000-0005-0000-0000-000089010000}"/>
    <cellStyle name="표준 3 21 4" xfId="434" xr:uid="{00000000-0005-0000-0000-00008A010000}"/>
    <cellStyle name="표준 3 22" xfId="31" xr:uid="{00000000-0005-0000-0000-00008B010000}"/>
    <cellStyle name="표준 3 22 2" xfId="290" xr:uid="{00000000-0005-0000-0000-00008C010000}"/>
    <cellStyle name="표준 3 22 3" xfId="353" xr:uid="{00000000-0005-0000-0000-00008D010000}"/>
    <cellStyle name="표준 3 22 3 2" xfId="511" xr:uid="{00000000-0005-0000-0000-00008E010000}"/>
    <cellStyle name="표준 3 22 4" xfId="435" xr:uid="{00000000-0005-0000-0000-00008F010000}"/>
    <cellStyle name="표준 3 23" xfId="32" xr:uid="{00000000-0005-0000-0000-000090010000}"/>
    <cellStyle name="표준 3 23 2" xfId="291" xr:uid="{00000000-0005-0000-0000-000091010000}"/>
    <cellStyle name="표준 3 23 3" xfId="354" xr:uid="{00000000-0005-0000-0000-000092010000}"/>
    <cellStyle name="표준 3 23 3 2" xfId="512" xr:uid="{00000000-0005-0000-0000-000093010000}"/>
    <cellStyle name="표준 3 23 4" xfId="436" xr:uid="{00000000-0005-0000-0000-000094010000}"/>
    <cellStyle name="표준 3 24" xfId="33" xr:uid="{00000000-0005-0000-0000-000095010000}"/>
    <cellStyle name="표준 3 24 2" xfId="292" xr:uid="{00000000-0005-0000-0000-000096010000}"/>
    <cellStyle name="표준 3 24 3" xfId="355" xr:uid="{00000000-0005-0000-0000-000097010000}"/>
    <cellStyle name="표준 3 24 3 2" xfId="513" xr:uid="{00000000-0005-0000-0000-000098010000}"/>
    <cellStyle name="표준 3 24 4" xfId="437" xr:uid="{00000000-0005-0000-0000-000099010000}"/>
    <cellStyle name="표준 3 25" xfId="34" xr:uid="{00000000-0005-0000-0000-00009A010000}"/>
    <cellStyle name="표준 3 25 2" xfId="293" xr:uid="{00000000-0005-0000-0000-00009B010000}"/>
    <cellStyle name="표준 3 25 3" xfId="356" xr:uid="{00000000-0005-0000-0000-00009C010000}"/>
    <cellStyle name="표준 3 25 3 2" xfId="514" xr:uid="{00000000-0005-0000-0000-00009D010000}"/>
    <cellStyle name="표준 3 25 4" xfId="438" xr:uid="{00000000-0005-0000-0000-00009E010000}"/>
    <cellStyle name="표준 3 26" xfId="35" xr:uid="{00000000-0005-0000-0000-00009F010000}"/>
    <cellStyle name="표준 3 26 2" xfId="294" xr:uid="{00000000-0005-0000-0000-0000A0010000}"/>
    <cellStyle name="표준 3 26 3" xfId="357" xr:uid="{00000000-0005-0000-0000-0000A1010000}"/>
    <cellStyle name="표준 3 26 3 2" xfId="515" xr:uid="{00000000-0005-0000-0000-0000A2010000}"/>
    <cellStyle name="표준 3 26 4" xfId="439" xr:uid="{00000000-0005-0000-0000-0000A3010000}"/>
    <cellStyle name="표준 3 27" xfId="36" xr:uid="{00000000-0005-0000-0000-0000A4010000}"/>
    <cellStyle name="표준 3 27 2" xfId="295" xr:uid="{00000000-0005-0000-0000-0000A5010000}"/>
    <cellStyle name="표준 3 27 3" xfId="358" xr:uid="{00000000-0005-0000-0000-0000A6010000}"/>
    <cellStyle name="표준 3 27 3 2" xfId="516" xr:uid="{00000000-0005-0000-0000-0000A7010000}"/>
    <cellStyle name="표준 3 27 4" xfId="440" xr:uid="{00000000-0005-0000-0000-0000A8010000}"/>
    <cellStyle name="표준 3 28" xfId="37" xr:uid="{00000000-0005-0000-0000-0000A9010000}"/>
    <cellStyle name="표준 3 28 2" xfId="296" xr:uid="{00000000-0005-0000-0000-0000AA010000}"/>
    <cellStyle name="표준 3 28 3" xfId="359" xr:uid="{00000000-0005-0000-0000-0000AB010000}"/>
    <cellStyle name="표준 3 28 3 2" xfId="517" xr:uid="{00000000-0005-0000-0000-0000AC010000}"/>
    <cellStyle name="표준 3 28 4" xfId="441" xr:uid="{00000000-0005-0000-0000-0000AD010000}"/>
    <cellStyle name="표준 3 29" xfId="38" xr:uid="{00000000-0005-0000-0000-0000AE010000}"/>
    <cellStyle name="표준 3 29 2" xfId="297" xr:uid="{00000000-0005-0000-0000-0000AF010000}"/>
    <cellStyle name="표준 3 29 3" xfId="360" xr:uid="{00000000-0005-0000-0000-0000B0010000}"/>
    <cellStyle name="표준 3 29 3 2" xfId="518" xr:uid="{00000000-0005-0000-0000-0000B1010000}"/>
    <cellStyle name="표준 3 29 4" xfId="442" xr:uid="{00000000-0005-0000-0000-0000B2010000}"/>
    <cellStyle name="표준 3 3" xfId="7" xr:uid="{00000000-0005-0000-0000-0000B3010000}"/>
    <cellStyle name="표준 3 3 2" xfId="299" xr:uid="{00000000-0005-0000-0000-0000B4010000}"/>
    <cellStyle name="표준 3 3 3" xfId="300" xr:uid="{00000000-0005-0000-0000-0000B5010000}"/>
    <cellStyle name="표준 3 3 4" xfId="301" xr:uid="{00000000-0005-0000-0000-0000B6010000}"/>
    <cellStyle name="표준 3 3 5" xfId="298" xr:uid="{00000000-0005-0000-0000-0000B7010000}"/>
    <cellStyle name="표준 3 3 6" xfId="334" xr:uid="{00000000-0005-0000-0000-0000B8010000}"/>
    <cellStyle name="표준 3 3 6 2" xfId="492" xr:uid="{00000000-0005-0000-0000-0000B9010000}"/>
    <cellStyle name="표준 3 3 7" xfId="416" xr:uid="{00000000-0005-0000-0000-0000BA010000}"/>
    <cellStyle name="표준 3 30" xfId="39" xr:uid="{00000000-0005-0000-0000-0000BB010000}"/>
    <cellStyle name="표준 3 30 2" xfId="302" xr:uid="{00000000-0005-0000-0000-0000BC010000}"/>
    <cellStyle name="표준 3 30 3" xfId="361" xr:uid="{00000000-0005-0000-0000-0000BD010000}"/>
    <cellStyle name="표준 3 30 3 2" xfId="519" xr:uid="{00000000-0005-0000-0000-0000BE010000}"/>
    <cellStyle name="표준 3 30 4" xfId="443" xr:uid="{00000000-0005-0000-0000-0000BF010000}"/>
    <cellStyle name="표준 3 31" xfId="40" xr:uid="{00000000-0005-0000-0000-0000C0010000}"/>
    <cellStyle name="표준 3 31 2" xfId="262" xr:uid="{00000000-0005-0000-0000-0000C1010000}"/>
    <cellStyle name="표준 3 31 3" xfId="362" xr:uid="{00000000-0005-0000-0000-0000C2010000}"/>
    <cellStyle name="표준 3 31 3 2" xfId="520" xr:uid="{00000000-0005-0000-0000-0000C3010000}"/>
    <cellStyle name="표준 3 31 4" xfId="444" xr:uid="{00000000-0005-0000-0000-0000C4010000}"/>
    <cellStyle name="표준 3 32" xfId="41" xr:uid="{00000000-0005-0000-0000-0000C5010000}"/>
    <cellStyle name="표준 3 32 2" xfId="363" xr:uid="{00000000-0005-0000-0000-0000C6010000}"/>
    <cellStyle name="표준 3 32 2 2" xfId="521" xr:uid="{00000000-0005-0000-0000-0000C7010000}"/>
    <cellStyle name="표준 3 32 3" xfId="445" xr:uid="{00000000-0005-0000-0000-0000C8010000}"/>
    <cellStyle name="표준 3 33" xfId="42" xr:uid="{00000000-0005-0000-0000-0000C9010000}"/>
    <cellStyle name="표준 3 33 2" xfId="364" xr:uid="{00000000-0005-0000-0000-0000CA010000}"/>
    <cellStyle name="표준 3 33 2 2" xfId="522" xr:uid="{00000000-0005-0000-0000-0000CB010000}"/>
    <cellStyle name="표준 3 33 3" xfId="446" xr:uid="{00000000-0005-0000-0000-0000CC010000}"/>
    <cellStyle name="표준 3 34" xfId="43" xr:uid="{00000000-0005-0000-0000-0000CD010000}"/>
    <cellStyle name="표준 3 34 2" xfId="365" xr:uid="{00000000-0005-0000-0000-0000CE010000}"/>
    <cellStyle name="표준 3 34 2 2" xfId="523" xr:uid="{00000000-0005-0000-0000-0000CF010000}"/>
    <cellStyle name="표준 3 34 3" xfId="447" xr:uid="{00000000-0005-0000-0000-0000D0010000}"/>
    <cellStyle name="표준 3 35" xfId="44" xr:uid="{00000000-0005-0000-0000-0000D1010000}"/>
    <cellStyle name="표준 3 35 2" xfId="366" xr:uid="{00000000-0005-0000-0000-0000D2010000}"/>
    <cellStyle name="표준 3 35 2 2" xfId="524" xr:uid="{00000000-0005-0000-0000-0000D3010000}"/>
    <cellStyle name="표준 3 35 3" xfId="448" xr:uid="{00000000-0005-0000-0000-0000D4010000}"/>
    <cellStyle name="표준 3 36" xfId="45" xr:uid="{00000000-0005-0000-0000-0000D5010000}"/>
    <cellStyle name="표준 3 36 2" xfId="367" xr:uid="{00000000-0005-0000-0000-0000D6010000}"/>
    <cellStyle name="표준 3 36 2 2" xfId="525" xr:uid="{00000000-0005-0000-0000-0000D7010000}"/>
    <cellStyle name="표준 3 36 3" xfId="449" xr:uid="{00000000-0005-0000-0000-0000D8010000}"/>
    <cellStyle name="표준 3 37" xfId="46" xr:uid="{00000000-0005-0000-0000-0000D9010000}"/>
    <cellStyle name="표준 3 37 2" xfId="368" xr:uid="{00000000-0005-0000-0000-0000DA010000}"/>
    <cellStyle name="표준 3 37 2 2" xfId="526" xr:uid="{00000000-0005-0000-0000-0000DB010000}"/>
    <cellStyle name="표준 3 37 3" xfId="450" xr:uid="{00000000-0005-0000-0000-0000DC010000}"/>
    <cellStyle name="표준 3 38" xfId="47" xr:uid="{00000000-0005-0000-0000-0000DD010000}"/>
    <cellStyle name="표준 3 38 2" xfId="369" xr:uid="{00000000-0005-0000-0000-0000DE010000}"/>
    <cellStyle name="표준 3 38 2 2" xfId="527" xr:uid="{00000000-0005-0000-0000-0000DF010000}"/>
    <cellStyle name="표준 3 38 3" xfId="451" xr:uid="{00000000-0005-0000-0000-0000E0010000}"/>
    <cellStyle name="표준 3 39" xfId="48" xr:uid="{00000000-0005-0000-0000-0000E1010000}"/>
    <cellStyle name="표준 3 39 2" xfId="370" xr:uid="{00000000-0005-0000-0000-0000E2010000}"/>
    <cellStyle name="표준 3 39 2 2" xfId="528" xr:uid="{00000000-0005-0000-0000-0000E3010000}"/>
    <cellStyle name="표준 3 39 3" xfId="452" xr:uid="{00000000-0005-0000-0000-0000E4010000}"/>
    <cellStyle name="표준 3 4" xfId="8" xr:uid="{00000000-0005-0000-0000-0000E5010000}"/>
    <cellStyle name="표준 3 4 2" xfId="304" xr:uid="{00000000-0005-0000-0000-0000E6010000}"/>
    <cellStyle name="표준 3 4 3" xfId="305" xr:uid="{00000000-0005-0000-0000-0000E7010000}"/>
    <cellStyle name="표준 3 4 4" xfId="306" xr:uid="{00000000-0005-0000-0000-0000E8010000}"/>
    <cellStyle name="표준 3 4 5" xfId="303" xr:uid="{00000000-0005-0000-0000-0000E9010000}"/>
    <cellStyle name="표준 3 4 6" xfId="335" xr:uid="{00000000-0005-0000-0000-0000EA010000}"/>
    <cellStyle name="표준 3 4 6 2" xfId="493" xr:uid="{00000000-0005-0000-0000-0000EB010000}"/>
    <cellStyle name="표준 3 4 7" xfId="417" xr:uid="{00000000-0005-0000-0000-0000EC010000}"/>
    <cellStyle name="표준 3 40" xfId="49" xr:uid="{00000000-0005-0000-0000-0000ED010000}"/>
    <cellStyle name="표준 3 40 2" xfId="371" xr:uid="{00000000-0005-0000-0000-0000EE010000}"/>
    <cellStyle name="표준 3 40 2 2" xfId="529" xr:uid="{00000000-0005-0000-0000-0000EF010000}"/>
    <cellStyle name="표준 3 40 3" xfId="453" xr:uid="{00000000-0005-0000-0000-0000F0010000}"/>
    <cellStyle name="표준 3 41" xfId="50" xr:uid="{00000000-0005-0000-0000-0000F1010000}"/>
    <cellStyle name="표준 3 41 2" xfId="372" xr:uid="{00000000-0005-0000-0000-0000F2010000}"/>
    <cellStyle name="표준 3 41 2 2" xfId="530" xr:uid="{00000000-0005-0000-0000-0000F3010000}"/>
    <cellStyle name="표준 3 41 3" xfId="454" xr:uid="{00000000-0005-0000-0000-0000F4010000}"/>
    <cellStyle name="표준 3 42" xfId="51" xr:uid="{00000000-0005-0000-0000-0000F5010000}"/>
    <cellStyle name="표준 3 42 2" xfId="373" xr:uid="{00000000-0005-0000-0000-0000F6010000}"/>
    <cellStyle name="표준 3 42 2 2" xfId="531" xr:uid="{00000000-0005-0000-0000-0000F7010000}"/>
    <cellStyle name="표준 3 42 3" xfId="455" xr:uid="{00000000-0005-0000-0000-0000F8010000}"/>
    <cellStyle name="표준 3 43" xfId="329" xr:uid="{00000000-0005-0000-0000-0000F9010000}"/>
    <cellStyle name="표준 3 43 2" xfId="405" xr:uid="{00000000-0005-0000-0000-0000FA010000}"/>
    <cellStyle name="표준 3 43 2 2" xfId="563" xr:uid="{00000000-0005-0000-0000-0000FB010000}"/>
    <cellStyle name="표준 3 43 3" xfId="487" xr:uid="{00000000-0005-0000-0000-0000FC010000}"/>
    <cellStyle name="표준 3 44" xfId="330" xr:uid="{00000000-0005-0000-0000-0000FD010000}"/>
    <cellStyle name="표준 3 44 2" xfId="406" xr:uid="{00000000-0005-0000-0000-0000FE010000}"/>
    <cellStyle name="표준 3 44 2 2" xfId="564" xr:uid="{00000000-0005-0000-0000-0000FF010000}"/>
    <cellStyle name="표준 3 44 3" xfId="488" xr:uid="{00000000-0005-0000-0000-000000020000}"/>
    <cellStyle name="표준 3 45" xfId="332" xr:uid="{00000000-0005-0000-0000-000001020000}"/>
    <cellStyle name="표준 3 45 2" xfId="490" xr:uid="{00000000-0005-0000-0000-000002020000}"/>
    <cellStyle name="표준 3 46" xfId="414" xr:uid="{00000000-0005-0000-0000-000003020000}"/>
    <cellStyle name="표준 3 5" xfId="9" xr:uid="{00000000-0005-0000-0000-000004020000}"/>
    <cellStyle name="표준 3 5 2" xfId="308" xr:uid="{00000000-0005-0000-0000-000005020000}"/>
    <cellStyle name="표준 3 5 3" xfId="309" xr:uid="{00000000-0005-0000-0000-000006020000}"/>
    <cellStyle name="표준 3 5 4" xfId="310" xr:uid="{00000000-0005-0000-0000-000007020000}"/>
    <cellStyle name="표준 3 5 5" xfId="307" xr:uid="{00000000-0005-0000-0000-000008020000}"/>
    <cellStyle name="표준 3 5 6" xfId="336" xr:uid="{00000000-0005-0000-0000-000009020000}"/>
    <cellStyle name="표준 3 5 6 2" xfId="494" xr:uid="{00000000-0005-0000-0000-00000A020000}"/>
    <cellStyle name="표준 3 5 7" xfId="418" xr:uid="{00000000-0005-0000-0000-00000B020000}"/>
    <cellStyle name="표준 3 6" xfId="10" xr:uid="{00000000-0005-0000-0000-00000C020000}"/>
    <cellStyle name="표준 3 6 2" xfId="312" xr:uid="{00000000-0005-0000-0000-00000D020000}"/>
    <cellStyle name="표준 3 6 3" xfId="313" xr:uid="{00000000-0005-0000-0000-00000E020000}"/>
    <cellStyle name="표준 3 6 4" xfId="311" xr:uid="{00000000-0005-0000-0000-00000F020000}"/>
    <cellStyle name="표준 3 6 5" xfId="337" xr:uid="{00000000-0005-0000-0000-000010020000}"/>
    <cellStyle name="표준 3 6 5 2" xfId="495" xr:uid="{00000000-0005-0000-0000-000011020000}"/>
    <cellStyle name="표준 3 6 6" xfId="419" xr:uid="{00000000-0005-0000-0000-000012020000}"/>
    <cellStyle name="표준 3 7" xfId="11" xr:uid="{00000000-0005-0000-0000-000013020000}"/>
    <cellStyle name="표준 3 7 2" xfId="315" xr:uid="{00000000-0005-0000-0000-000014020000}"/>
    <cellStyle name="표준 3 7 3" xfId="316" xr:uid="{00000000-0005-0000-0000-000015020000}"/>
    <cellStyle name="표준 3 7 4" xfId="314" xr:uid="{00000000-0005-0000-0000-000016020000}"/>
    <cellStyle name="표준 3 7 5" xfId="338" xr:uid="{00000000-0005-0000-0000-000017020000}"/>
    <cellStyle name="표준 3 7 5 2" xfId="496" xr:uid="{00000000-0005-0000-0000-000018020000}"/>
    <cellStyle name="표준 3 7 6" xfId="420" xr:uid="{00000000-0005-0000-0000-000019020000}"/>
    <cellStyle name="표준 3 8" xfId="12" xr:uid="{00000000-0005-0000-0000-00001A020000}"/>
    <cellStyle name="표준 3 8 2" xfId="318" xr:uid="{00000000-0005-0000-0000-00001B020000}"/>
    <cellStyle name="표준 3 8 3" xfId="319" xr:uid="{00000000-0005-0000-0000-00001C020000}"/>
    <cellStyle name="표준 3 8 4" xfId="317" xr:uid="{00000000-0005-0000-0000-00001D020000}"/>
    <cellStyle name="표준 3 8 5" xfId="339" xr:uid="{00000000-0005-0000-0000-00001E020000}"/>
    <cellStyle name="표준 3 8 5 2" xfId="497" xr:uid="{00000000-0005-0000-0000-00001F020000}"/>
    <cellStyle name="표준 3 8 6" xfId="421" xr:uid="{00000000-0005-0000-0000-000020020000}"/>
    <cellStyle name="표준 3 9" xfId="13" xr:uid="{00000000-0005-0000-0000-000021020000}"/>
    <cellStyle name="표준 3 9 2" xfId="321" xr:uid="{00000000-0005-0000-0000-000022020000}"/>
    <cellStyle name="표준 3 9 3" xfId="322" xr:uid="{00000000-0005-0000-0000-000023020000}"/>
    <cellStyle name="표준 3 9 4" xfId="320" xr:uid="{00000000-0005-0000-0000-000024020000}"/>
    <cellStyle name="표준 3 9 5" xfId="340" xr:uid="{00000000-0005-0000-0000-000025020000}"/>
    <cellStyle name="표준 3 9 5 2" xfId="498" xr:uid="{00000000-0005-0000-0000-000026020000}"/>
    <cellStyle name="표준 3 9 6" xfId="422" xr:uid="{00000000-0005-0000-0000-000027020000}"/>
    <cellStyle name="표준 30" xfId="323" xr:uid="{00000000-0005-0000-0000-000028020000}"/>
    <cellStyle name="표준 31" xfId="324" xr:uid="{00000000-0005-0000-0000-000029020000}"/>
    <cellStyle name="표준 32" xfId="325" xr:uid="{00000000-0005-0000-0000-00002A020000}"/>
    <cellStyle name="표준 33" xfId="52" xr:uid="{00000000-0005-0000-0000-00002B020000}"/>
    <cellStyle name="표준 34" xfId="411" xr:uid="{00000000-0005-0000-0000-00002C020000}"/>
    <cellStyle name="표준 35" xfId="408" xr:uid="{00000000-0005-0000-0000-00002D020000}"/>
    <cellStyle name="표준 4" xfId="14" xr:uid="{00000000-0005-0000-0000-00002E020000}"/>
    <cellStyle name="표준 5" xfId="16" xr:uid="{00000000-0005-0000-0000-00002F020000}"/>
    <cellStyle name="표준 6" xfId="17" xr:uid="{00000000-0005-0000-0000-000030020000}"/>
    <cellStyle name="표준 7" xfId="18" xr:uid="{00000000-0005-0000-0000-000031020000}"/>
    <cellStyle name="표준 8" xfId="15" xr:uid="{00000000-0005-0000-0000-000032020000}"/>
    <cellStyle name="표준 9" xfId="326" xr:uid="{00000000-0005-0000-0000-000033020000}"/>
    <cellStyle name="標準_Akia(F）-8" xfId="327" xr:uid="{00000000-0005-0000-0000-000034020000}"/>
    <cellStyle name="황대호" xfId="328" xr:uid="{00000000-0005-0000-0000-00003602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8"/>
  <sheetViews>
    <sheetView showGridLines="0" tabSelected="1" topLeftCell="B3" zoomScaleNormal="100" workbookViewId="0">
      <selection activeCell="I25" sqref="I25"/>
    </sheetView>
  </sheetViews>
  <sheetFormatPr defaultColWidth="10.42578125" defaultRowHeight="11.25"/>
  <cols>
    <col min="1" max="1" width="3.42578125" style="6" customWidth="1"/>
    <col min="2" max="2" width="7.140625" style="1" customWidth="1"/>
    <col min="3" max="3" width="15.42578125" style="1" customWidth="1"/>
    <col min="4" max="4" width="10.42578125" style="6" customWidth="1"/>
    <col min="5" max="5" width="15.42578125" style="1" customWidth="1"/>
    <col min="6" max="7" width="8.140625" style="1" customWidth="1"/>
    <col min="8" max="8" width="13.42578125" style="1" customWidth="1"/>
    <col min="9" max="9" width="127.42578125" style="7" bestFit="1" customWidth="1"/>
    <col min="10" max="11" width="22.42578125" style="7" customWidth="1"/>
    <col min="12" max="16384" width="10.42578125" style="1"/>
  </cols>
  <sheetData>
    <row r="2" spans="1:11" ht="18" customHeight="1">
      <c r="A2" s="1"/>
      <c r="B2" s="22" t="s">
        <v>0</v>
      </c>
      <c r="C2" s="22"/>
      <c r="D2" s="22"/>
      <c r="E2" s="22"/>
      <c r="F2" s="22"/>
      <c r="G2" s="22"/>
      <c r="H2" s="22"/>
      <c r="I2" s="22"/>
      <c r="J2" s="22"/>
      <c r="K2" s="1"/>
    </row>
    <row r="3" spans="1:11" ht="12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ht="14.25" customHeight="1">
      <c r="A4" s="1"/>
      <c r="B4" s="21">
        <f ca="1">TODAY()</f>
        <v>46139</v>
      </c>
      <c r="C4" s="21"/>
      <c r="D4" s="3"/>
      <c r="E4" s="4"/>
      <c r="F4" s="4"/>
      <c r="G4" s="4"/>
      <c r="H4" s="4"/>
      <c r="I4" s="1"/>
    </row>
    <row r="5" spans="1:11" ht="21" customHeight="1">
      <c r="A5" s="1"/>
      <c r="B5" s="5"/>
      <c r="C5" s="5"/>
      <c r="E5" s="4"/>
      <c r="F5" s="4"/>
    </row>
    <row r="6" spans="1:11" ht="22.5">
      <c r="A6" s="1"/>
      <c r="B6" s="8" t="s">
        <v>23</v>
      </c>
      <c r="C6" s="8" t="s">
        <v>24</v>
      </c>
      <c r="D6" s="8" t="s">
        <v>25</v>
      </c>
      <c r="E6" s="8" t="s">
        <v>26</v>
      </c>
      <c r="F6" s="9" t="s">
        <v>27</v>
      </c>
      <c r="G6" s="9" t="s">
        <v>28</v>
      </c>
      <c r="H6" s="9" t="s">
        <v>29</v>
      </c>
      <c r="I6" s="12" t="s">
        <v>30</v>
      </c>
      <c r="J6" s="20" t="s">
        <v>43</v>
      </c>
      <c r="K6" s="20" t="s">
        <v>43</v>
      </c>
    </row>
    <row r="7" spans="1:11" ht="15" customHeight="1">
      <c r="A7" s="10"/>
      <c r="B7" s="13">
        <v>1</v>
      </c>
      <c r="C7" s="13" t="s">
        <v>1</v>
      </c>
      <c r="D7" s="18" t="s">
        <v>53</v>
      </c>
      <c r="E7" s="14" t="s">
        <v>2</v>
      </c>
      <c r="F7" s="15">
        <v>20</v>
      </c>
      <c r="G7" s="15">
        <v>20</v>
      </c>
      <c r="H7" s="23" t="s">
        <v>3</v>
      </c>
      <c r="I7" s="16"/>
      <c r="J7" s="11"/>
      <c r="K7" s="11"/>
    </row>
    <row r="8" spans="1:11" ht="15" customHeight="1">
      <c r="A8" s="10"/>
      <c r="B8" s="13">
        <v>2</v>
      </c>
      <c r="C8" s="13" t="s">
        <v>1</v>
      </c>
      <c r="D8" s="18" t="s">
        <v>56</v>
      </c>
      <c r="E8" s="14" t="s">
        <v>4</v>
      </c>
      <c r="F8" s="15">
        <v>15</v>
      </c>
      <c r="G8" s="15">
        <v>15</v>
      </c>
      <c r="H8" s="23" t="s">
        <v>3</v>
      </c>
      <c r="I8" s="19"/>
      <c r="J8" s="11"/>
      <c r="K8" s="11"/>
    </row>
    <row r="9" spans="1:11" ht="15" customHeight="1">
      <c r="A9" s="10"/>
      <c r="B9" s="13">
        <v>3</v>
      </c>
      <c r="C9" s="13" t="s">
        <v>5</v>
      </c>
      <c r="D9" s="14" t="s">
        <v>54</v>
      </c>
      <c r="E9" s="14" t="s">
        <v>6</v>
      </c>
      <c r="F9" s="15">
        <v>5</v>
      </c>
      <c r="G9" s="15">
        <v>5</v>
      </c>
      <c r="H9" s="23" t="s">
        <v>3</v>
      </c>
      <c r="I9" s="16"/>
      <c r="J9" s="11"/>
      <c r="K9" s="11"/>
    </row>
    <row r="10" spans="1:11" ht="15" customHeight="1">
      <c r="A10" s="10"/>
      <c r="B10" s="13">
        <v>4</v>
      </c>
      <c r="C10" s="13" t="s">
        <v>7</v>
      </c>
      <c r="D10" s="14" t="s">
        <v>57</v>
      </c>
      <c r="E10" s="14" t="s">
        <v>8</v>
      </c>
      <c r="F10" s="15">
        <v>5</v>
      </c>
      <c r="G10" s="15">
        <v>5</v>
      </c>
      <c r="H10" s="23" t="s">
        <v>3</v>
      </c>
      <c r="I10" s="16"/>
      <c r="J10" s="11"/>
      <c r="K10" s="11"/>
    </row>
    <row r="11" spans="1:11" ht="15" customHeight="1">
      <c r="A11" s="10"/>
      <c r="B11" s="13">
        <v>5</v>
      </c>
      <c r="C11" s="13" t="s">
        <v>7</v>
      </c>
      <c r="D11" s="18" t="s">
        <v>55</v>
      </c>
      <c r="E11" s="14" t="s">
        <v>9</v>
      </c>
      <c r="F11" s="15">
        <v>5</v>
      </c>
      <c r="G11" s="15">
        <v>5</v>
      </c>
      <c r="H11" s="23" t="s">
        <v>3</v>
      </c>
      <c r="I11" s="16"/>
      <c r="J11" s="11"/>
      <c r="K11" s="11"/>
    </row>
    <row r="12" spans="1:11" ht="15" customHeight="1">
      <c r="A12" s="10"/>
      <c r="B12" s="13">
        <v>6</v>
      </c>
      <c r="C12" s="13" t="s">
        <v>10</v>
      </c>
      <c r="D12" s="18">
        <v>128940</v>
      </c>
      <c r="E12" s="14" t="s">
        <v>11</v>
      </c>
      <c r="F12" s="15">
        <v>5</v>
      </c>
      <c r="G12" s="15">
        <v>5</v>
      </c>
      <c r="H12" s="23" t="s">
        <v>3</v>
      </c>
      <c r="I12" s="16"/>
      <c r="J12" s="11"/>
      <c r="K12" s="11"/>
    </row>
    <row r="13" spans="1:11" ht="15" customHeight="1">
      <c r="A13" s="10"/>
      <c r="B13" s="13">
        <v>7</v>
      </c>
      <c r="C13" s="13" t="s">
        <v>12</v>
      </c>
      <c r="D13" s="18" t="s">
        <v>58</v>
      </c>
      <c r="E13" s="14" t="s">
        <v>13</v>
      </c>
      <c r="F13" s="15">
        <v>5</v>
      </c>
      <c r="G13" s="15">
        <v>5</v>
      </c>
      <c r="H13" s="23" t="s">
        <v>3</v>
      </c>
      <c r="I13" s="16"/>
      <c r="J13" s="11"/>
      <c r="K13" s="11"/>
    </row>
    <row r="14" spans="1:11" ht="15" customHeight="1">
      <c r="A14" s="10"/>
      <c r="B14" s="13">
        <v>8</v>
      </c>
      <c r="C14" s="13" t="s">
        <v>16</v>
      </c>
      <c r="D14" s="18" t="s">
        <v>59</v>
      </c>
      <c r="E14" s="14" t="s">
        <v>17</v>
      </c>
      <c r="F14" s="15">
        <v>3</v>
      </c>
      <c r="G14" s="15">
        <v>3</v>
      </c>
      <c r="H14" s="23" t="s">
        <v>3</v>
      </c>
      <c r="I14" s="16"/>
      <c r="J14" s="11"/>
      <c r="K14" s="11"/>
    </row>
    <row r="15" spans="1:11" ht="15" customHeight="1">
      <c r="A15" s="10"/>
      <c r="B15" s="13">
        <v>9</v>
      </c>
      <c r="C15" s="13" t="s">
        <v>12</v>
      </c>
      <c r="D15" s="18">
        <v>439260</v>
      </c>
      <c r="E15" s="14" t="s">
        <v>18</v>
      </c>
      <c r="F15" s="15">
        <v>3</v>
      </c>
      <c r="G15" s="15">
        <v>3</v>
      </c>
      <c r="H15" s="23" t="s">
        <v>3</v>
      </c>
      <c r="I15" s="16"/>
      <c r="J15" s="11"/>
      <c r="K15" s="11"/>
    </row>
    <row r="16" spans="1:11" ht="15" customHeight="1">
      <c r="A16" s="10"/>
      <c r="B16" s="13">
        <v>10</v>
      </c>
      <c r="C16" s="13" t="s">
        <v>19</v>
      </c>
      <c r="D16" s="18" t="s">
        <v>52</v>
      </c>
      <c r="E16" s="14" t="s">
        <v>20</v>
      </c>
      <c r="F16" s="15">
        <v>3</v>
      </c>
      <c r="G16" s="15">
        <v>3</v>
      </c>
      <c r="H16" s="23" t="s">
        <v>3</v>
      </c>
      <c r="I16" s="16"/>
      <c r="J16" s="11"/>
      <c r="K16" s="11"/>
    </row>
    <row r="17" spans="1:11" ht="15" customHeight="1">
      <c r="A17" s="10"/>
      <c r="B17" s="13">
        <v>11</v>
      </c>
      <c r="C17" s="13" t="s">
        <v>31</v>
      </c>
      <c r="D17" s="18" t="s">
        <v>51</v>
      </c>
      <c r="E17" s="14" t="s">
        <v>32</v>
      </c>
      <c r="F17" s="15">
        <v>3</v>
      </c>
      <c r="G17" s="15">
        <v>3</v>
      </c>
      <c r="H17" s="23" t="s">
        <v>3</v>
      </c>
      <c r="I17" s="16"/>
      <c r="J17" s="11"/>
      <c r="K17" s="11"/>
    </row>
    <row r="18" spans="1:11" ht="15" customHeight="1">
      <c r="A18" s="10"/>
      <c r="B18" s="13">
        <v>12</v>
      </c>
      <c r="C18" s="13" t="s">
        <v>33</v>
      </c>
      <c r="D18" s="18" t="s">
        <v>50</v>
      </c>
      <c r="E18" s="14" t="s">
        <v>34</v>
      </c>
      <c r="F18" s="15">
        <v>3</v>
      </c>
      <c r="G18" s="15">
        <v>3</v>
      </c>
      <c r="H18" s="23" t="s">
        <v>3</v>
      </c>
      <c r="I18" s="16"/>
      <c r="J18" s="11"/>
      <c r="K18" s="11"/>
    </row>
    <row r="19" spans="1:11" ht="15" customHeight="1">
      <c r="A19" s="10"/>
      <c r="B19" s="13">
        <v>13</v>
      </c>
      <c r="C19" s="13" t="s">
        <v>36</v>
      </c>
      <c r="D19" s="18">
        <v>171090</v>
      </c>
      <c r="E19" s="14" t="s">
        <v>37</v>
      </c>
      <c r="F19" s="15">
        <v>3</v>
      </c>
      <c r="G19" s="15">
        <v>3</v>
      </c>
      <c r="H19" s="23" t="s">
        <v>3</v>
      </c>
      <c r="I19" s="16"/>
      <c r="J19" s="11"/>
      <c r="K19" s="11"/>
    </row>
    <row r="20" spans="1:11">
      <c r="B20" s="13">
        <v>14</v>
      </c>
      <c r="C20" s="13" t="s">
        <v>10</v>
      </c>
      <c r="D20" s="18">
        <v>298380</v>
      </c>
      <c r="E20" s="14" t="s">
        <v>38</v>
      </c>
      <c r="F20" s="15">
        <v>3</v>
      </c>
      <c r="G20" s="15">
        <v>3</v>
      </c>
      <c r="H20" s="23" t="s">
        <v>3</v>
      </c>
      <c r="I20" s="16"/>
      <c r="J20" s="11"/>
      <c r="K20" s="11"/>
    </row>
    <row r="21" spans="1:11">
      <c r="B21" s="13">
        <v>15</v>
      </c>
      <c r="C21" s="13" t="s">
        <v>33</v>
      </c>
      <c r="D21" s="18" t="s">
        <v>44</v>
      </c>
      <c r="E21" s="14" t="s">
        <v>39</v>
      </c>
      <c r="F21" s="15">
        <v>3</v>
      </c>
      <c r="G21" s="15">
        <v>3</v>
      </c>
      <c r="H21" s="23" t="s">
        <v>3</v>
      </c>
      <c r="I21" s="16"/>
      <c r="J21" s="11"/>
      <c r="K21" s="11"/>
    </row>
    <row r="22" spans="1:11">
      <c r="B22" s="13">
        <v>16</v>
      </c>
      <c r="C22" s="13" t="s">
        <v>5</v>
      </c>
      <c r="D22" s="18">
        <v>267270</v>
      </c>
      <c r="E22" s="14" t="s">
        <v>40</v>
      </c>
      <c r="F22" s="15">
        <v>3</v>
      </c>
      <c r="G22" s="15">
        <v>3</v>
      </c>
      <c r="H22" s="23" t="s">
        <v>3</v>
      </c>
      <c r="I22" s="16"/>
      <c r="J22" s="11"/>
      <c r="K22" s="11"/>
    </row>
    <row r="23" spans="1:11">
      <c r="B23" s="13">
        <v>17</v>
      </c>
      <c r="C23" s="13" t="s">
        <v>41</v>
      </c>
      <c r="D23" s="18" t="s">
        <v>45</v>
      </c>
      <c r="E23" s="14" t="s">
        <v>42</v>
      </c>
      <c r="F23" s="15">
        <v>3</v>
      </c>
      <c r="G23" s="15">
        <v>3</v>
      </c>
      <c r="H23" s="23" t="s">
        <v>3</v>
      </c>
      <c r="I23" s="16"/>
      <c r="J23" s="11"/>
      <c r="K23" s="11"/>
    </row>
    <row r="24" spans="1:11">
      <c r="B24" s="13">
        <v>18</v>
      </c>
      <c r="C24" s="13" t="s">
        <v>14</v>
      </c>
      <c r="D24" s="18" t="s">
        <v>46</v>
      </c>
      <c r="E24" s="14" t="s">
        <v>15</v>
      </c>
      <c r="F24" s="15">
        <v>2</v>
      </c>
      <c r="G24" s="15">
        <v>2</v>
      </c>
      <c r="H24" s="23" t="s">
        <v>3</v>
      </c>
      <c r="I24" s="16"/>
      <c r="J24" s="11"/>
      <c r="K24" s="11"/>
    </row>
    <row r="25" spans="1:11">
      <c r="B25" s="13">
        <v>19</v>
      </c>
      <c r="C25" s="13" t="s">
        <v>63</v>
      </c>
      <c r="D25" s="18" t="s">
        <v>60</v>
      </c>
      <c r="E25" s="14" t="s">
        <v>61</v>
      </c>
      <c r="F25" s="15">
        <v>0</v>
      </c>
      <c r="G25" s="15">
        <v>2</v>
      </c>
      <c r="H25" s="23" t="s">
        <v>35</v>
      </c>
      <c r="I25" s="16" t="s">
        <v>62</v>
      </c>
      <c r="J25" s="11"/>
      <c r="K25" s="11"/>
    </row>
    <row r="26" spans="1:11">
      <c r="B26" s="13">
        <v>20</v>
      </c>
      <c r="C26" s="13" t="s">
        <v>12</v>
      </c>
      <c r="D26" s="18" t="s">
        <v>47</v>
      </c>
      <c r="E26" s="14" t="s">
        <v>48</v>
      </c>
      <c r="F26" s="15">
        <v>0</v>
      </c>
      <c r="G26" s="15">
        <v>1</v>
      </c>
      <c r="H26" s="23" t="s">
        <v>35</v>
      </c>
      <c r="I26" s="16" t="s">
        <v>49</v>
      </c>
      <c r="J26" s="11"/>
      <c r="K26" s="11"/>
    </row>
    <row r="27" spans="1:11">
      <c r="B27" s="13">
        <v>21</v>
      </c>
      <c r="C27" s="13" t="s">
        <v>10</v>
      </c>
      <c r="D27" s="18">
        <v>476830</v>
      </c>
      <c r="E27" s="14" t="s">
        <v>21</v>
      </c>
      <c r="F27" s="15">
        <v>1</v>
      </c>
      <c r="G27" s="15">
        <v>1</v>
      </c>
      <c r="H27" s="23" t="s">
        <v>3</v>
      </c>
      <c r="I27" s="16"/>
      <c r="J27" s="11"/>
      <c r="K27" s="11"/>
    </row>
    <row r="28" spans="1:11">
      <c r="E28" s="17" t="s">
        <v>22</v>
      </c>
      <c r="F28" s="15">
        <f>+SUM(F7:F27)</f>
        <v>93</v>
      </c>
      <c r="G28" s="15">
        <f>+SUM(G7:G27)</f>
        <v>96</v>
      </c>
      <c r="H28" s="15">
        <f>+G28-F28</f>
        <v>3</v>
      </c>
      <c r="J28" s="1"/>
      <c r="K28" s="1"/>
    </row>
  </sheetData>
  <autoFilter ref="B6:J6" xr:uid="{00000000-0001-0000-0000-000000000000}"/>
  <sortState xmlns:xlrd2="http://schemas.microsoft.com/office/spreadsheetml/2017/richdata2" ref="C7:I19">
    <sortCondition descending="1" ref="G7:G19"/>
  </sortState>
  <mergeCells count="2">
    <mergeCell ref="B4:C4"/>
    <mergeCell ref="B2:J2"/>
  </mergeCells>
  <phoneticPr fontId="47" type="noConversion"/>
  <conditionalFormatting sqref="H7:H27">
    <cfRule type="containsText" dxfId="3" priority="1" operator="containsText" text="편출">
      <formula>NOT(ISERROR(SEARCH("편출",H7)))</formula>
    </cfRule>
    <cfRule type="containsText" dxfId="2" priority="2" operator="containsText" text="매도">
      <formula>NOT(ISERROR(SEARCH("매도",H7)))</formula>
    </cfRule>
    <cfRule type="containsText" dxfId="1" priority="3" operator="containsText" text="매수">
      <formula>NOT(ISERROR(SEARCH("매수",H7)))</formula>
    </cfRule>
    <cfRule type="containsText" dxfId="0" priority="4" operator="containsText" text="신규편입">
      <formula>NOT(ISERROR(SEARCH("신규편입",H7)))</formula>
    </cfRule>
  </conditionalFormatting>
  <pageMargins left="0.7" right="0.7" top="0.75" bottom="0.75" header="0.3" footer="0.3"/>
  <pageSetup paperSize="9" orientation="portrait" r:id="rId1"/>
  <ignoredErrors>
    <ignoredError sqref="D7:D2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59CF5A76336894CA75BB8DD02174586" ma:contentTypeVersion="19" ma:contentTypeDescription="새 문서를 만듭니다." ma:contentTypeScope="" ma:versionID="faa5c85bb6f6a6ce926a037edea768dd">
  <xsd:schema xmlns:xsd="http://www.w3.org/2001/XMLSchema" xmlns:xs="http://www.w3.org/2001/XMLSchema" xmlns:p="http://schemas.microsoft.com/office/2006/metadata/properties" xmlns:ns2="e0364704-b782-437e-889f-fe601c342842" xmlns:ns3="a7464877-13a2-4814-85bc-ecb6b6720ff6" targetNamespace="http://schemas.microsoft.com/office/2006/metadata/properties" ma:root="true" ma:fieldsID="2bc026cf75abfd3871bff468f585b2a8" ns2:_="" ns3:_="">
    <xsd:import namespace="e0364704-b782-437e-889f-fe601c342842"/>
    <xsd:import namespace="a7464877-13a2-4814-85bc-ecb6b6720f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64704-b782-437e-889f-fe601c3428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b928c819-5fa6-4c34-8a95-bd533dadb1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464877-13a2-4814-85bc-ecb6b6720ff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7eaef29-b725-4a22-a966-61a99feac6de}" ma:internalName="TaxCatchAll" ma:showField="CatchAllData" ma:web="a7464877-13a2-4814-85bc-ecb6b6720f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7464877-13a2-4814-85bc-ecb6b6720ff6" xsi:nil="true"/>
    <lcf76f155ced4ddcb4097134ff3c332f xmlns="e0364704-b782-437e-889f-fe601c34284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0D64A-7A48-419F-A098-3A034512BB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64704-b782-437e-889f-fe601c342842"/>
    <ds:schemaRef ds:uri="a7464877-13a2-4814-85bc-ecb6b6720f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DB65570-8ECE-41A1-8E2F-826B9FF4E5EE}">
  <ds:schemaRefs>
    <ds:schemaRef ds:uri="http://schemas.microsoft.com/office/2006/metadata/properties"/>
    <ds:schemaRef ds:uri="http://schemas.microsoft.com/office/infopath/2007/PartnerControls"/>
    <ds:schemaRef ds:uri="a7464877-13a2-4814-85bc-ecb6b6720ff6"/>
    <ds:schemaRef ds:uri="e0364704-b782-437e-889f-fe601c342842"/>
  </ds:schemaRefs>
</ds:datastoreItem>
</file>

<file path=customXml/itemProps3.xml><?xml version="1.0" encoding="utf-8"?>
<ds:datastoreItem xmlns:ds="http://schemas.openxmlformats.org/officeDocument/2006/customXml" ds:itemID="{D239D3EF-8282-4B1D-A0A7-B26AF9049B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NH랩_라이프ValueESG</vt:lpstr>
    </vt:vector>
  </TitlesOfParts>
  <Manager/>
  <Company>VALUE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</dc:creator>
  <cp:keywords/>
  <dc:description/>
  <cp:lastModifiedBy>김도협</cp:lastModifiedBy>
  <cp:revision/>
  <dcterms:created xsi:type="dcterms:W3CDTF">2012-04-18T06:53:12Z</dcterms:created>
  <dcterms:modified xsi:type="dcterms:W3CDTF">2026-04-27T04:05:36Z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0x010100059CF5A76336894CA75BB8DD02174586</vt:lpwstr>
  </property>
  <property fmtid="{D5CDD505-2E9C-101B-9397-08002B2CF9AE}" pid="3" name="MediaServiceImageTags">
    <vt:lpwstr/>
  </property>
</Properties>
</file>